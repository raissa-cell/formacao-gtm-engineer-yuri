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5afaba813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70a7adec4ad4a90"/>
    <x:sheet xmlns:r="http://schemas.openxmlformats.org/officeDocument/2006/relationships" name="Leads 50" sheetId="2" r:id="R6e6eeed480b54284"/>
    <x:sheet xmlns:r="http://schemas.openxmlformats.org/officeDocument/2006/relationships" name="Estratégia" sheetId="3" r:id="R147675c7baad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/mm/yyyy"/>
  </x:numFmts>
  <x:fonts count="12">
    <x:font>
      <x:sz val="11"/>
      <x:name val="Carlito"/>
    </x:font>
    <x:font>
      <x:sz val="10"/>
      <x:color rgb="FF1E2630"/>
      <x:name val="Arial"/>
    </x:font>
    <x:font>
      <x:b/>
      <x:sz val="15"/>
      <x:color rgb="FF14213D"/>
      <x:name val="Arial"/>
    </x:font>
    <x:font>
      <x:i/>
      <x:sz val="10"/>
      <x:color rgb="FF5F6B7A"/>
      <x:name val="Arial"/>
    </x:font>
    <x:font>
      <x:b/>
      <x:sz val="9"/>
      <x:color rgb="FFFFFFFF"/>
      <x:name val="Arial"/>
    </x:font>
    <x:font>
      <x:b/>
      <x:sz val="16"/>
      <x:color rgb="FF14213D"/>
      <x:name val="Arial"/>
    </x:font>
    <x:font>
      <x:sz val="10"/>
      <x:color rgb="FF5F6B7A"/>
      <x:name val="Arial"/>
    </x:font>
    <x:font>
      <x:b/>
      <x:sz val="10"/>
      <x:color rgb="FFFFFFFF"/>
      <x:name val="Arial"/>
    </x:font>
    <x:font>
      <x:b/>
      <x:sz val="12"/>
      <x:color rgb="FF14213D"/>
      <x:name val="Arial"/>
    </x:font>
    <x:font>
      <x:sz val="11"/>
      <x:color rgb="FF14213D"/>
      <x:name val="Arial"/>
    </x:font>
    <x:font>
      <x:b/>
      <x:sz val="10"/>
      <x:color rgb="FF14213D"/>
      <x:name val="Arial"/>
    </x:font>
    <x:font>
      <x:sz val="10"/>
      <x:color rgb="FF33333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213D"/>
      </x:patternFill>
    </x:fill>
    <x:fill>
      <x:patternFill patternType="solid">
        <x:fgColor rgb="FFF4F6F8"/>
      </x:patternFill>
    </x:fill>
    <x:fill>
      <x:patternFill patternType="solid">
        <x:fgColor rgb="FFF05A0A"/>
      </x:patternFill>
    </x:fill>
    <x:fill>
      <x:patternFill patternType="solid">
        <x:fgColor rgb="FFFDE9DB"/>
      </x:patternFill>
    </x:fill>
    <x:fill>
      <x:patternFill patternType="solid">
        <x:fgColor rgb="FFDDEBF7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medium">
        <x:color rgb="FFF05A0A"/>
      </x:bottom>
      <x:diagonal/>
    </x:border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  <x:diagonal/>
    </x:border>
    <x:border>
      <x:left style="thin">
        <x:color rgb="FFF05A0A"/>
      </x:left>
      <x:right/>
      <x:top style="thin">
        <x:color rgb="FFF05A0A"/>
      </x:top>
      <x:bottom/>
      <x:diagonal/>
    </x:border>
    <x:border>
      <x:left/>
      <x:right/>
      <x:top style="thin">
        <x:color rgb="FFF05A0A"/>
      </x:top>
      <x:bottom/>
      <x:diagonal/>
    </x:border>
    <x:border>
      <x:left/>
      <x:right style="thin">
        <x:color rgb="FFF05A0A"/>
      </x:right>
      <x:top style="thin">
        <x:color rgb="FFF05A0A"/>
      </x:top>
      <x:bottom/>
      <x:diagonal/>
    </x:border>
    <x:border>
      <x:left style="thin">
        <x:color rgb="FFF05A0A"/>
      </x:left>
      <x:right/>
      <x:top/>
      <x:bottom/>
      <x:diagonal/>
    </x:border>
    <x:border>
      <x:left/>
      <x:right style="thin">
        <x:color rgb="FFF05A0A"/>
      </x:right>
      <x:top/>
      <x:bottom/>
      <x:diagonal/>
    </x:border>
    <x:border>
      <x:left style="thin">
        <x:color rgb="FFF05A0A"/>
      </x:left>
      <x:right/>
      <x:top/>
      <x:bottom style="thin">
        <x:color rgb="FFF05A0A"/>
      </x:bottom>
      <x:diagonal/>
    </x:border>
    <x:border>
      <x:left/>
      <x:right/>
      <x:top/>
      <x:bottom style="thin">
        <x:color rgb="FFF05A0A"/>
      </x:bottom>
      <x:diagonal/>
    </x:border>
    <x:border>
      <x:left/>
      <x:right style="thin">
        <x:color rgb="FFF05A0A"/>
      </x:right>
      <x:top/>
      <x:bottom style="thin">
        <x:color rgb="FFF05A0A"/>
      </x:bottom>
      <x:diagonal/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/>
    </x:xf>
    <x:xf numFmtId="201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horizontal="center" vertical="top"/>
    </x:xf>
    <x:xf numFmtId="200" fontId="1" fillId="0" borderId="2" xfId="0" applyNumberFormat="1" applyFont="1" applyFill="1" applyBorder="1" applyAlignment="1">
      <x:alignment horizontal="right" vertical="top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7" fillId="3" borderId="2" xfId="0" applyNumberFormat="1" applyFont="1" applyFill="1" applyBorder="1"/>
    <x:xf numFmtId="0" fontId="1" fillId="4" borderId="2" xfId="0" applyNumberFormat="1" applyFont="1" applyFill="1" applyBorder="1"/>
    <x:xf numFmtId="0" fontId="8" fillId="4" borderId="2" xfId="0" applyNumberFormat="1" applyFont="1" applyFill="1" applyBorder="1"/>
    <x:xf numFmtId="0" fontId="8" fillId="4" borderId="2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1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4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8" xfId="0" applyNumberFormat="1" applyFont="1" applyFill="1" applyBorder="1"/>
    <x:xf numFmtId="0" fontId="9" fillId="6" borderId="9" xfId="0" applyNumberFormat="1" applyFont="1" applyFill="1" applyBorder="1"/>
    <x:xf numFmtId="0" fontId="9" fillId="6" borderId="10" xfId="0" applyNumberFormat="1" applyFont="1" applyFill="1" applyBorder="1"/>
    <x:xf numFmtId="0" fontId="9" fillId="6" borderId="3" xfId="0" applyNumberFormat="1" applyFont="1" applyFill="1" applyBorder="1" applyAlignment="1">
      <x:alignment wrapText="1"/>
    </x:xf>
    <x:xf numFmtId="0" fontId="9" fillId="6" borderId="4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wrapText="1"/>
    </x:xf>
    <x:xf numFmtId="0" fontId="9" fillId="6" borderId="8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wrapText="1"/>
    </x:xf>
    <x:xf numFmtId="0" fontId="9" fillId="6" borderId="3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9" fillId="6" borderId="6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9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vertical="top" wrapText="1"/>
    </x:xf>
    <x:xf numFmtId="0" fontId="10" fillId="7" borderId="2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2" xfId="0" applyNumberFormat="1" applyFont="1" applyFill="1" applyBorder="1"/>
    <x:xf numFmtId="0" fontId="11" fillId="4" borderId="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806000"/>
      </x:font>
      <x:fill>
        <x:patternFill patternType="solid">
          <x:bgColor rgb="FFFFF2CC"/>
        </x:patternFill>
      </x:fill>
    </x:dxf>
    <x:dxf>
      <x:font>
        <x:b/>
        <x:color rgb="FF9C3A18"/>
      </x:font>
      <x:fill>
        <x:patternFill patternType="solid">
          <x:bgColor rgb="FFFCE4D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7d017ffd14e83" /><Relationship Type="http://schemas.openxmlformats.org/officeDocument/2006/relationships/theme" Target="/xl/theme/theme1.xml" Id="R9a8336bac58b4dc9" /><Relationship Type="http://schemas.openxmlformats.org/officeDocument/2006/relationships/sharedStrings" Target="/xl/sharedStrings.xml" Id="R895da1d1c4c34756" /><Relationship Type="http://schemas.openxmlformats.org/officeDocument/2006/relationships/worksheet" Target="/xl/worksheets/sheet1.xml" Id="R770a7adec4ad4a90" /><Relationship Type="http://schemas.openxmlformats.org/officeDocument/2006/relationships/worksheet" Target="/xl/worksheets/sheet2.xml" Id="R6e6eeed480b54284" /><Relationship Type="http://schemas.openxmlformats.org/officeDocument/2006/relationships/worksheet" Target="/xl/worksheets/sheet3.xml" Id="R147675c7baad4488" /></Relationships>
</file>

<file path=xl/tables/table1.xml><?xml version="1.0" encoding="utf-8"?>
<x:table xmlns:x="http://schemas.openxmlformats.org/spreadsheetml/2006/main" id="1" name="LeadsInstagramTable" displayName="LeadsInstagramTable" ref="A4:AA54" headerRowCount="1" totalsRowCount="0" totalsRowShown="0">
  <x:tableColumns count="27">
    <x:tableColumn id="1" name="Rank"/>
    <x:tableColumn id="2" name="Prioridade"/>
    <x:tableColumn id="3" name="Score"/>
    <x:tableColumn id="4" name="Nome"/>
    <x:tableColumn id="5" name="@ do Instagram"/>
    <x:tableColumn id="6" name="Bio completa"/>
    <x:tableColumn id="7" name="Cargo / atuação"/>
    <x:tableColumn id="8" name="Empresa / marca"/>
    <x:tableColumn id="9" name="Papel na compra"/>
    <x:tableColumn id="10" name="Seguidores"/>
    <x:tableColumn id="11" name="URL do perfil"/>
    <x:tableColumn id="12" name="E-mail público"/>
    <x:tableColumn id="13" name="Telefone / WhatsApp público"/>
    <x:tableColumn id="14" name="Link público de contato"/>
    <x:tableColumn id="15" name="Comentário usado como sinal"/>
    <x:tableColumn id="16" name="URL do post de origem"/>
    <x:tableColumn id="17" name="Perfil influenciador"/>
    <x:tableColumn id="18" name="Assunto do post"/>
    <x:tableColumn id="19" name="Motivo do fit"/>
    <x:tableColumn id="20" name="Validação pendente"/>
    <x:tableColumn id="21" name="Próxima ação"/>
    <x:tableColumn id="22" name="Fonte da coleta"/>
    <x:tableColumn id="23" name="Data da coleta"/>
    <x:tableColumn id="24" name="Status da validação"/>
    <x:tableColumn id="25" name="Status da prospecção"/>
    <x:tableColumn id="26" name="Contatos na mesma conta"/>
    <x:tableColumn id="27" name="Recomendação por co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183e79b69415f" /></Relationships>
</file>

<file path=xl/worksheets/sheet1.xml><?xml version="1.0" encoding="utf-8"?>
<x:worksheet xmlns:x="http://schemas.openxmlformats.org/spreadsheetml/2006/main">
  <x:sheetPr>
    <x:tabColor rgb="FF14213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9" hidden="0" customWidth="1"/>
    <x:col min="4" max="4" width="24" hidden="0" customWidth="1"/>
    <x:col min="5" max="5" width="23" hidden="0" customWidth="1"/>
    <x:col min="6" max="6" width="28" hidden="0" customWidth="1"/>
    <x:col min="7" max="7" width="35" hidden="0" customWidth="1"/>
    <x:col min="8" max="8" width="39" hidden="0" customWidth="1"/>
  </x:cols>
  <x:sheetData>
    <x:row r="1">
      <x:c r="A1" s="19" t="str">
        <x:v>Leads automotivos a partir de comentários no Instagram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Coleta em 08/10/2026. O arquivo separa sinal público, contato e validação real do ICP da Patagon AI.</x:v>
      </x:c>
      <x:c r="B2" s="20"/>
      <x:c r="C2" s="20"/>
      <x:c r="D2" s="20"/>
      <x:c r="E2" s="20"/>
      <x:c r="F2" s="20"/>
      <x:c r="G2" s="20"/>
      <x:c r="H2" s="20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21" t="str">
        <x:v>Indicador</x:v>
      </x:c>
      <x:c r="B4" s="21" t="str">
        <x:v>Resultado</x:v>
      </x:c>
      <x:c r="C4" s="1"/>
      <x:c r="D4" s="26" t="str">
        <x:v>Leitura correta da lista</x:v>
      </x:c>
      <x:c r="E4" s="26"/>
      <x:c r="F4" s="26"/>
      <x:c r="G4" s="26"/>
      <x:c r="H4" s="26"/>
    </x:row>
    <x:row r="5">
      <x:c r="A5" s="7" t="str">
        <x:v>Posts analisados</x:v>
      </x:c>
      <x:c r="B5" s="24" t="n">
        <x:v>52</x:v>
      </x:c>
      <x:c r="C5" s="1"/>
      <x:c r="D5" s="46" t="str">
        <x:v>Os 50 nomes são potenciais contatos, não 50 contas já aprovadas. Muitos pertencem à mesma concessionária. Antes de abordar, agrupe por empresa, valide o ICP e escolha no máximo um decisor e um champion por conta. Nenhum e-mail público foi localizado nos perfis selecionados; isso não deve ser preenchido por inferência.</x:v>
      </x:c>
      <x:c r="E5" s="47"/>
      <x:c r="F5" s="47"/>
      <x:c r="G5" s="47"/>
      <x:c r="H5" s="48"/>
    </x:row>
    <x:row r="6">
      <x:c r="A6" s="7" t="str">
        <x:v>Comentários coletados</x:v>
      </x:c>
      <x:c r="B6" s="24" t="n">
        <x:v>441</x:v>
      </x:c>
      <x:c r="C6" s="1"/>
      <x:c r="D6" s="49"/>
      <x:c r="E6" s="50"/>
      <x:c r="F6" s="50"/>
      <x:c r="G6" s="50"/>
      <x:c r="H6" s="51"/>
    </x:row>
    <x:row r="7">
      <x:c r="A7" s="7" t="str">
        <x:v>Perfis únicos enriquecidos</x:v>
      </x:c>
      <x:c r="B7" s="24" t="n">
        <x:v>347</x:v>
      </x:c>
      <x:c r="C7" s="1"/>
      <x:c r="D7" s="49"/>
      <x:c r="E7" s="50"/>
      <x:c r="F7" s="50"/>
      <x:c r="G7" s="50"/>
      <x:c r="H7" s="51"/>
    </x:row>
    <x:row r="8">
      <x:c r="A8" s="7" t="str">
        <x:v>Leads selecionados</x:v>
      </x:c>
      <x:c r="B8" s="24" t="n">
        <x:f>COUNTA('Leads 50'!E5:E54)</x:f>
        <x:v>50</x:v>
      </x:c>
      <x:c r="C8" s="1"/>
      <x:c r="D8" s="52"/>
      <x:c r="E8" s="53"/>
      <x:c r="F8" s="53"/>
      <x:c r="G8" s="53"/>
      <x:c r="H8" s="54"/>
    </x:row>
    <x:row r="9">
      <x:c r="A9" s="7" t="str">
        <x:v>Prioridade A</x:v>
      </x:c>
      <x:c r="B9" s="24" t="n">
        <x:f>COUNTIF('Leads 50'!B5:B54,"A")</x:f>
        <x:v>19</x:v>
      </x:c>
      <x:c r="C9" s="1"/>
      <x:c r="D9" s="1"/>
      <x:c r="E9" s="1"/>
      <x:c r="F9" s="1"/>
      <x:c r="G9" s="1"/>
      <x:c r="H9" s="1"/>
    </x:row>
    <x:row r="10">
      <x:c r="A10" s="7" t="str">
        <x:v>Decisores prováveis</x:v>
      </x:c>
      <x:c r="B10" s="24" t="n">
        <x:f>COUNTIF('Leads 50'!I5:I54,"Decisor provável")</x:f>
        <x:v>5</x:v>
      </x:c>
      <x:c r="C10" s="1"/>
      <x:c r="D10" s="1"/>
      <x:c r="E10" s="1"/>
      <x:c r="F10" s="1"/>
      <x:c r="G10" s="1"/>
      <x:c r="H10" s="1"/>
    </x:row>
    <x:row r="11">
      <x:c r="A11" s="7" t="str">
        <x:v>Com telefone / WhatsApp público</x:v>
      </x:c>
      <x:c r="B11" s="24" t="n">
        <x:f>COUNTIF('Leads 50'!M5:M54,"&lt;&gt;Não localizado")</x:f>
        <x:v>15</x:v>
      </x:c>
      <x:c r="C11" s="1"/>
      <x:c r="D11" s="1"/>
      <x:c r="E11" s="1"/>
      <x:c r="F11" s="1"/>
      <x:c r="G11" s="1"/>
      <x:c r="H11" s="1"/>
    </x:row>
    <x:row r="12">
      <x:c r="A12" s="7" t="str">
        <x:v>Com link público de contato</x:v>
      </x:c>
      <x:c r="B12" s="24" t="n">
        <x:f>COUNTIF('Leads 50'!N5:N54,"&lt;&gt;Não localizado")</x:f>
        <x:v>32</x:v>
      </x:c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56" t="str">
        <x:v>Primeiros 15 contatos para pesquisa de conta</x:v>
      </x:c>
      <x:c r="B15" s="56"/>
      <x:c r="C15" s="56"/>
      <x:c r="D15" s="56"/>
      <x:c r="E15" s="56"/>
      <x:c r="F15" s="56"/>
      <x:c r="G15" s="56"/>
      <x:c r="H15" s="56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6" customHeight="1">
      <x:c r="A17" s="10" t="str">
        <x:v>Rank</x:v>
      </x:c>
      <x:c r="B17" s="10" t="str">
        <x:v>Prioridade</x:v>
      </x:c>
      <x:c r="C17" s="10" t="str">
        <x:v>Score</x:v>
      </x:c>
      <x:c r="D17" s="10" t="str">
        <x:v>Nome</x:v>
      </x:c>
      <x:c r="E17" s="10" t="str">
        <x:v>@</x:v>
      </x:c>
      <x:c r="F17" s="10" t="str">
        <x:v>Cargo</x:v>
      </x:c>
      <x:c r="G17" s="10" t="str">
        <x:v>Empresa</x:v>
      </x:c>
      <x:c r="H17" s="10" t="str">
        <x:v>URL do perfil</x:v>
      </x:c>
    </x:row>
    <x:row r="18" ht="30" customHeight="1">
      <x:c r="A18" s="16" t="n">
        <x:v>1</x:v>
      </x:c>
      <x:c r="B18" s="16" t="str">
        <x:v>A</x:v>
      </x:c>
      <x:c r="C18" s="16" t="n">
        <x:v>98</x:v>
      </x:c>
      <x:c r="D18" s="12" t="str">
        <x:v>Thiago Pinho</x:v>
      </x:c>
      <x:c r="E18" s="12" t="str">
        <x:v>@thiagopinhotiti</x:v>
      </x:c>
      <x:c r="F18" s="12" t="str">
        <x:v>Empresário / presidente</x:v>
      </x:c>
      <x:c r="G18" s="12" t="str">
        <x:v>Pinho Concessionária de Seminovos / Grupo S Pinho</x:v>
      </x:c>
      <x:c r="H18" s="12" t="str">
        <x:v>https://www.instagram.com/thiagopinhotiti</x:v>
      </x:c>
    </x:row>
    <x:row r="19" ht="30" customHeight="1">
      <x:c r="A19" s="16" t="n">
        <x:v>2</x:v>
      </x:c>
      <x:c r="B19" s="16" t="str">
        <x:v>A</x:v>
      </x:c>
      <x:c r="C19" s="16" t="n">
        <x:v>97</x:v>
      </x:c>
      <x:c r="D19" s="12" t="str">
        <x:v>Eltton Andradee</x:v>
      </x:c>
      <x:c r="E19" s="12" t="str">
        <x:v>@elttonandradee</x:v>
      </x:c>
      <x:c r="F19" s="12" t="str">
        <x:v>Empresário</x:v>
      </x:c>
      <x:c r="G19" s="12" t="str">
        <x:v>TAG Veículos</x:v>
      </x:c>
      <x:c r="H19" s="12" t="str">
        <x:v>https://www.instagram.com/elttonandradee</x:v>
      </x:c>
    </x:row>
    <x:row r="20" ht="30" customHeight="1">
      <x:c r="A20" s="16" t="n">
        <x:v>3</x:v>
      </x:c>
      <x:c r="B20" s="16" t="str">
        <x:v>A</x:v>
      </x:c>
      <x:c r="C20" s="16" t="n">
        <x:v>94</x:v>
      </x:c>
      <x:c r="D20" s="12" t="str">
        <x:v>SANDRA CARVALHO ⛤</x:v>
      </x:c>
      <x:c r="E20" s="12" t="str">
        <x:v>@sandra.carvalho0702</x:v>
      </x:c>
      <x:c r="F20" s="12" t="str">
        <x:v>Diretora Executiva</x:v>
      </x:c>
      <x:c r="G20" s="12" t="str">
        <x:v>AK Auto Center</x:v>
      </x:c>
      <x:c r="H20" s="12" t="str">
        <x:v>https://www.instagram.com/sandra.carvalho0702</x:v>
      </x:c>
    </x:row>
    <x:row r="21" ht="30" customHeight="1">
      <x:c r="A21" s="16" t="n">
        <x:v>4</x:v>
      </x:c>
      <x:c r="B21" s="16" t="str">
        <x:v>A</x:v>
      </x:c>
      <x:c r="C21" s="16" t="n">
        <x:v>94</x:v>
      </x:c>
      <x:c r="D21" s="12" t="str">
        <x:v>Jaime Campelo Bessa</x:v>
      </x:c>
      <x:c r="E21" s="12" t="str">
        <x:v>@jaimedapro</x:v>
      </x:c>
      <x:c r="F21" s="12" t="str">
        <x:v>Profissional / empresário automotivo</x:v>
      </x:c>
      <x:c r="G21" s="12" t="str">
        <x:v>Pro Veículos Manaus / Alugue na Pro / Alveam</x:v>
      </x:c>
      <x:c r="H21" s="12" t="str">
        <x:v>https://www.instagram.com/jaimedapro</x:v>
      </x:c>
    </x:row>
    <x:row r="22" ht="30" customHeight="1">
      <x:c r="A22" s="16" t="n">
        <x:v>5</x:v>
      </x:c>
      <x:c r="B22" s="16" t="str">
        <x:v>A</x:v>
      </x:c>
      <x:c r="C22" s="16" t="n">
        <x:v>93</x:v>
      </x:c>
      <x:c r="D22" s="12" t="str">
        <x:v>Dallyane Barbosa Costa</x:v>
      </x:c>
      <x:c r="E22" s="12" t="str">
        <x:v>@dallyanecostahonda</x:v>
      </x:c>
      <x:c r="F22" s="12" t="str">
        <x:v>Coordenadora Web / F&amp;I</x:v>
      </x:c>
      <x:c r="G22" s="12" t="str">
        <x:v>Alagoas Motos</x:v>
      </x:c>
      <x:c r="H22" s="12" t="str">
        <x:v>https://www.instagram.com/dallyanecostahonda</x:v>
      </x:c>
    </x:row>
    <x:row r="23" ht="30" customHeight="1">
      <x:c r="A23" s="16" t="n">
        <x:v>6</x:v>
      </x:c>
      <x:c r="B23" s="16" t="str">
        <x:v>A</x:v>
      </x:c>
      <x:c r="C23" s="16" t="n">
        <x:v>93</x:v>
      </x:c>
      <x:c r="D23" s="12" t="str">
        <x:v>Deyvid Bezerra</x:v>
      </x:c>
      <x:c r="E23" s="12" t="str">
        <x:v>@deyvid.honda</x:v>
      </x:c>
      <x:c r="F23" s="12" t="str">
        <x:v>Coordenador de Vendas</x:v>
      </x:c>
      <x:c r="G23" s="12" t="str">
        <x:v>Alagoas Motos</x:v>
      </x:c>
      <x:c r="H23" s="12" t="str">
        <x:v>https://www.instagram.com/deyvid.honda</x:v>
      </x:c>
    </x:row>
    <x:row r="24" ht="30" customHeight="1">
      <x:c r="A24" s="16" t="n">
        <x:v>7</x:v>
      </x:c>
      <x:c r="B24" s="16" t="str">
        <x:v>A</x:v>
      </x:c>
      <x:c r="C24" s="16" t="n">
        <x:v>93</x:v>
      </x:c>
      <x:c r="D24" s="12" t="str">
        <x:v>Emerson Angelino Cavalcante</x:v>
      </x:c>
      <x:c r="E24" s="12" t="str">
        <x:v>@emerson.honda</x:v>
      </x:c>
      <x:c r="F24" s="12" t="str">
        <x:v>Gerente de Consórcio e instrutor</x:v>
      </x:c>
      <x:c r="G24" s="12" t="str">
        <x:v>Alagoas Motos</x:v>
      </x:c>
      <x:c r="H24" s="12" t="str">
        <x:v>https://www.instagram.com/emerson.honda</x:v>
      </x:c>
    </x:row>
    <x:row r="25" ht="30" customHeight="1">
      <x:c r="A25" s="16" t="n">
        <x:v>8</x:v>
      </x:c>
      <x:c r="B25" s="16" t="str">
        <x:v>A</x:v>
      </x:c>
      <x:c r="C25" s="16" t="n">
        <x:v>92</x:v>
      </x:c>
      <x:c r="D25" s="12" t="str">
        <x:v>Jefferson Furstenau</x:v>
      </x:c>
      <x:c r="E25" s="12" t="str">
        <x:v>@jefferson.sunmotors</x:v>
      </x:c>
      <x:c r="F25" s="12" t="str">
        <x:v>Empresário / profissional automotivo</x:v>
      </x:c>
      <x:c r="G25" s="12" t="str">
        <x:v>Kia Sun Motors / Suzuki Sun Motors</x:v>
      </x:c>
      <x:c r="H25" s="12" t="str">
        <x:v>https://www.instagram.com/jefferson.sunmotors</x:v>
      </x:c>
    </x:row>
    <x:row r="26" ht="30" customHeight="1">
      <x:c r="A26" s="16" t="n">
        <x:v>9</x:v>
      </x:c>
      <x:c r="B26" s="16" t="str">
        <x:v>A</x:v>
      </x:c>
      <x:c r="C26" s="16" t="n">
        <x:v>92</x:v>
      </x:c>
      <x:c r="D26" s="12" t="str">
        <x:v>Bruno Bettéro</x:v>
      </x:c>
      <x:c r="E26" s="12" t="str">
        <x:v>@brunobettero</x:v>
      </x:c>
      <x:c r="F26" s="12" t="str">
        <x:v>Gestor de Concessionária</x:v>
      </x:c>
      <x:c r="G26" s="12" t="str">
        <x:v>Concessionária não identificada na bio</x:v>
      </x:c>
      <x:c r="H26" s="12" t="str">
        <x:v>https://www.instagram.com/brunobettero</x:v>
      </x:c>
    </x:row>
    <x:row r="27" ht="30" customHeight="1">
      <x:c r="A27" s="16" t="n">
        <x:v>10</x:v>
      </x:c>
      <x:c r="B27" s="16" t="str">
        <x:v>A</x:v>
      </x:c>
      <x:c r="C27" s="16" t="n">
        <x:v>91</x:v>
      </x:c>
      <x:c r="D27" s="12" t="str">
        <x:v>Gesivam Lopes</x:v>
      </x:c>
      <x:c r="E27" s="12" t="str">
        <x:v>@gesivamlopes</x:v>
      </x:c>
      <x:c r="F27" s="12" t="str">
        <x:v>Gerente de Vendas</x:v>
      </x:c>
      <x:c r="G27" s="12" t="str">
        <x:v>Primavia Fiat</x:v>
      </x:c>
      <x:c r="H27" s="12" t="str">
        <x:v>https://www.instagram.com/gesivamlopes</x:v>
      </x:c>
    </x:row>
    <x:row r="28" ht="30" customHeight="1">
      <x:c r="A28" s="16" t="n">
        <x:v>11</x:v>
      </x:c>
      <x:c r="B28" s="16" t="str">
        <x:v>A</x:v>
      </x:c>
      <x:c r="C28" s="16" t="n">
        <x:v>88</x:v>
      </x:c>
      <x:c r="D28" s="12" t="str">
        <x:v>Keyanny</x:v>
      </x:c>
      <x:c r="E28" s="12" t="str">
        <x:v>@keyannyalves</x:v>
      </x:c>
      <x:c r="F28" s="12" t="str">
        <x:v>Gerente</x:v>
      </x:c>
      <x:c r="G28" s="12" t="str">
        <x:v>Original Yamaha</x:v>
      </x:c>
      <x:c r="H28" s="12" t="str">
        <x:v>https://www.instagram.com/keyannyalves</x:v>
      </x:c>
    </x:row>
    <x:row r="29" ht="30" customHeight="1">
      <x:c r="A29" s="16" t="n">
        <x:v>12</x:v>
      </x:c>
      <x:c r="B29" s="16" t="str">
        <x:v>A</x:v>
      </x:c>
      <x:c r="C29" s="16" t="n">
        <x:v>88</x:v>
      </x:c>
      <x:c r="D29" s="12" t="str">
        <x:v>Reinaldo R. Cardoso | Conteúdo Automotivo</x:v>
      </x:c>
      <x:c r="E29" s="12" t="str">
        <x:v>@reicardoso</x:v>
      </x:c>
      <x:c r="F29" s="12" t="str">
        <x:v>Gerente Regional de Vendas</x:v>
      </x:c>
      <x:c r="G29" s="12" t="str">
        <x:v>Empresa não identificada na bio</x:v>
      </x:c>
      <x:c r="H29" s="12" t="str">
        <x:v>https://www.instagram.com/reicardoso</x:v>
      </x:c>
    </x:row>
    <x:row r="30" ht="30" customHeight="1">
      <x:c r="A30" s="16" t="n">
        <x:v>13</x:v>
      </x:c>
      <x:c r="B30" s="16" t="str">
        <x:v>A</x:v>
      </x:c>
      <x:c r="C30" s="16" t="n">
        <x:v>88</x:v>
      </x:c>
      <x:c r="D30" s="12" t="str">
        <x:v>Junior Mendes</x:v>
      </x:c>
      <x:c r="E30" s="12" t="str">
        <x:v>@juniormendes___</x:v>
      </x:c>
      <x:c r="F30" s="12" t="str">
        <x:v>Gerente Comercial</x:v>
      </x:c>
      <x:c r="G30" s="12" t="str">
        <x:v>Original São Luís</x:v>
      </x:c>
      <x:c r="H30" s="12" t="str">
        <x:v>https://www.instagram.com/juniormendes___</x:v>
      </x:c>
    </x:row>
    <x:row r="31" ht="30" customHeight="1">
      <x:c r="A31" s="16" t="n">
        <x:v>14</x:v>
      </x:c>
      <x:c r="B31" s="16" t="str">
        <x:v>A</x:v>
      </x:c>
      <x:c r="C31" s="16" t="n">
        <x:v>88</x:v>
      </x:c>
      <x:c r="D31" s="12" t="str">
        <x:v>Ana Angélica</x:v>
      </x:c>
      <x:c r="E31" s="12" t="str">
        <x:v>@angelicaomena</x:v>
      </x:c>
      <x:c r="F31" s="12" t="str">
        <x:v>Gerente Comercial</x:v>
      </x:c>
      <x:c r="G31" s="12" t="str">
        <x:v>Grupo Gama</x:v>
      </x:c>
      <x:c r="H31" s="12" t="str">
        <x:v>https://www.instagram.com/angelicaomena</x:v>
      </x:c>
    </x:row>
    <x:row r="32" ht="30" customHeight="1">
      <x:c r="A32" s="16" t="n">
        <x:v>15</x:v>
      </x:c>
      <x:c r="B32" s="16" t="str">
        <x:v>A</x:v>
      </x:c>
      <x:c r="C32" s="16" t="n">
        <x:v>88</x:v>
      </x:c>
      <x:c r="D32" s="12" t="str">
        <x:v>Gessiane Nina| Original Caoa Chery</x:v>
      </x:c>
      <x:c r="E32" s="12" t="str">
        <x:v>@gessiane.nina</x:v>
      </x:c>
      <x:c r="F32" s="12" t="str">
        <x:v>Gerente Comercial</x:v>
      </x:c>
      <x:c r="G32" s="12" t="str">
        <x:v>CAOA Chery Original São Luís</x:v>
      </x:c>
      <x:c r="H32" s="12" t="str">
        <x:v>https://www.instagram.com/gessiane.nina</x:v>
      </x:c>
    </x:row>
  </x:sheetData>
  <x:mergeCells>
    <x:mergeCell ref="A1:H1"/>
    <x:mergeCell ref="A2:H2"/>
    <x:mergeCell ref="D4:H4"/>
    <x:mergeCell ref="D5:H8"/>
    <x:mergeCell ref="A15:H15"/>
  </x:mergeCells>
  <x:conditionalFormatting sqref="B18:B32">
    <x:cfRule type="cellIs" dxfId="3" priority="1" operator="equal">
      <x:formula>"A"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05A0A"/>
  </x:sheetPr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7" hidden="0" customWidth="1"/>
    <x:col min="2" max="2" width="9" hidden="0" customWidth="1"/>
    <x:col min="3" max="3" width="8" hidden="0" customWidth="1"/>
    <x:col min="4" max="4" width="22" hidden="0" customWidth="1"/>
    <x:col min="5" max="5" width="22" hidden="0" customWidth="1"/>
    <x:col min="6" max="6" width="48" hidden="0" customWidth="1"/>
    <x:col min="7" max="7" width="24" hidden="0" customWidth="1"/>
    <x:col min="8" max="8" width="29" hidden="0" customWidth="1"/>
    <x:col min="9" max="9" width="22" hidden="0" customWidth="1"/>
    <x:col min="10" max="10" width="12" hidden="0" customWidth="1"/>
    <x:col min="11" max="11" width="34" hidden="0" customWidth="1"/>
    <x:col min="12" max="12" width="26" hidden="0" customWidth="1"/>
    <x:col min="13" max="13" width="25" hidden="0" customWidth="1"/>
    <x:col min="14" max="14" width="34" hidden="0" customWidth="1"/>
    <x:col min="15" max="15" width="45" hidden="0" customWidth="1"/>
    <x:col min="16" max="16" width="34" hidden="0" customWidth="1"/>
    <x:col min="17" max="17" width="20" hidden="0" customWidth="1"/>
    <x:col min="18" max="18" width="48" hidden="0" customWidth="1"/>
    <x:col min="19" max="19" width="42" hidden="0" customWidth="1"/>
    <x:col min="20" max="20" width="44" hidden="0" customWidth="1"/>
    <x:col min="21" max="21" width="34" hidden="0" customWidth="1"/>
    <x:col min="22" max="22" width="22" hidden="0" customWidth="1"/>
    <x:col min="23" max="23" width="14" hidden="0" customWidth="1"/>
    <x:col min="24" max="24" width="18" hidden="0" customWidth="1"/>
    <x:col min="25" max="25" width="20" hidden="0" customWidth="1"/>
    <x:col min="26" max="26" width="14" hidden="0" customWidth="1"/>
    <x:col min="27" max="27" width="42" hidden="0" customWidth="1"/>
  </x:cols>
  <x:sheetData>
    <x:row r="1" ht="26" customHeight="1">
      <x:c r="A1" s="4" t="str">
        <x:v>50 potenciais contatos automotivos encontrados em comentários do Instagram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 ht="26" customHeight="1">
      <x:c r="A2" s="6" t="str">
        <x:v>Perfis públicos. Prioridade indica qualidade do contato; a empresa só entra no ICP após validação de unidades, marca, Ads e fluxo de novos leads no WhatsApp.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</x:row>
    <x:row r="4" ht="42" customHeight="1">
      <x:c r="A4" s="11" t="str">
        <x:v>Rank</x:v>
      </x:c>
      <x:c r="B4" s="11" t="str">
        <x:v>Prioridade</x:v>
      </x:c>
      <x:c r="C4" s="11" t="str">
        <x:v>Score</x:v>
      </x:c>
      <x:c r="D4" s="11" t="str">
        <x:v>Nome</x:v>
      </x:c>
      <x:c r="E4" s="11" t="str">
        <x:v>@ do Instagram</x:v>
      </x:c>
      <x:c r="F4" s="11" t="str">
        <x:v>Bio completa</x:v>
      </x:c>
      <x:c r="G4" s="11" t="str">
        <x:v>Cargo / atuação</x:v>
      </x:c>
      <x:c r="H4" s="11" t="str">
        <x:v>Empresa / marca</x:v>
      </x:c>
      <x:c r="I4" s="11" t="str">
        <x:v>Papel na compra</x:v>
      </x:c>
      <x:c r="J4" s="11" t="str">
        <x:v>Seguidores</x:v>
      </x:c>
      <x:c r="K4" s="11" t="str">
        <x:v>URL do perfil</x:v>
      </x:c>
      <x:c r="L4" s="11" t="str">
        <x:v>E-mail público</x:v>
      </x:c>
      <x:c r="M4" s="11" t="str">
        <x:v>Telefone / WhatsApp público</x:v>
      </x:c>
      <x:c r="N4" s="11" t="str">
        <x:v>Link público de contato</x:v>
      </x:c>
      <x:c r="O4" s="11" t="str">
        <x:v>Comentário usado como sinal</x:v>
      </x:c>
      <x:c r="P4" s="11" t="str">
        <x:v>URL do post de origem</x:v>
      </x:c>
      <x:c r="Q4" s="11" t="str">
        <x:v>Perfil influenciador</x:v>
      </x:c>
      <x:c r="R4" s="11" t="str">
        <x:v>Assunto do post</x:v>
      </x:c>
      <x:c r="S4" s="11" t="str">
        <x:v>Motivo do fit</x:v>
      </x:c>
      <x:c r="T4" s="11" t="str">
        <x:v>Validação pendente</x:v>
      </x:c>
      <x:c r="U4" s="11" t="str">
        <x:v>Próxima ação</x:v>
      </x:c>
      <x:c r="V4" s="11" t="str">
        <x:v>Fonte da coleta</x:v>
      </x:c>
      <x:c r="W4" s="11" t="str">
        <x:v>Data da coleta</x:v>
      </x:c>
      <x:c r="X4" s="11" t="str">
        <x:v>Status da validação</x:v>
      </x:c>
      <x:c r="Y4" s="11" t="str">
        <x:v>Status da prospecção</x:v>
      </x:c>
      <x:c r="Z4" s="11" t="str">
        <x:v>Contatos na mesma conta</x:v>
      </x:c>
      <x:c r="AA4" s="11" t="str">
        <x:v>Recomendação por conta</x:v>
      </x:c>
    </x:row>
    <x:row r="5" ht="44" customHeight="1">
      <x:c r="A5" s="16" t="n">
        <x:v>1</x:v>
      </x:c>
      <x:c r="B5" s="16" t="str">
        <x:v>A</x:v>
      </x:c>
      <x:c r="C5" s="16" t="n">
        <x:v>98</x:v>
      </x:c>
      <x:c r="D5" s="12" t="str">
        <x:v>Thiago Pinho</x:v>
      </x:c>
      <x:c r="E5" s="12" t="str">
        <x:v>@thiagopinhotiti</x:v>
      </x:c>
      <x:c r="F5" s="13" t="str">
        <x:v>Empresário e Empreendedor Pai do Francisco 👦 Maria Flor 👧 #pinhoconcessionariadeseminovos 🚙 #grupospinhoinvestimentosimobiliarios 🏢 Presidente GABM</x:v>
      </x:c>
      <x:c r="G5" s="12" t="str">
        <x:v>Empresário / presidente</x:v>
      </x:c>
      <x:c r="H5" s="12" t="str">
        <x:v>Pinho Concessionária de Seminovos / Grupo S Pinho</x:v>
      </x:c>
      <x:c r="I5" s="12" t="str">
        <x:v>Decisor provável</x:v>
      </x:c>
      <x:c r="J5" s="17" t="n">
        <x:v>1535</x:v>
      </x:c>
      <x:c r="K5" s="12" t="str">
        <x:v>https://www.instagram.com/thiagopinhotiti</x:v>
      </x:c>
      <x:c r="L5" s="12" t="str">
        <x:v>Não localizado</x:v>
      </x:c>
      <x:c r="M5" s="12" t="str">
        <x:v>Não localizado</x:v>
      </x:c>
      <x:c r="N5" s="12" t="str">
        <x:v>http://www.pinhoveiculos.com/</x:v>
      </x:c>
      <x:c r="O5" s="13" t="str">
        <x:v>B2b de lojistas o pior …. Interessante é o boleto … resolver problema não não …</x:v>
      </x:c>
      <x:c r="P5" s="13" t="str">
        <x:v>https://www.instagram.com/p/Dcljry2KmSJ/</x:v>
      </x:c>
      <x:c r="Q5" s="13" t="str">
        <x:v>@autoavaliar</x:v>
      </x:c>
      <x:c r="R5" s="13" t="str">
        <x:v>Nós somos o mercado! Esse recorde é uma prova da força do mercado de seminovos. Todos os dias trabalhamos para melhorar e profissionalizar nosso setor. Para que cada vendedor, cada loja, cada lojista, cada concessionário, possam trabalhar e crescer. Essa conqu</x:v>
      </x:c>
      <x:c r="S5" s="13" t="str">
        <x:v>Empresário / presidente em Pinho Concessionária de Seminovos / Grupo S Pinho; pode influenciar processos de atendimento, vendas, CRM/BDC ou pós-venda.</x:v>
      </x:c>
      <x:c r="T5" s="13" t="str">
        <x:v>Confirmar empresa atual, nº de unidades, investimento em Ads e volume de novos leads no WhatsApp</x:v>
      </x:c>
      <x:c r="U5" s="13" t="str">
        <x:v>Abordagem direta e pesquisa da empresa</x:v>
      </x:c>
      <x:c r="V5" s="12" t="str">
        <x:v>Apify · Instagram Scraper</x:v>
      </x:c>
      <x:c r="W5" s="15" t="d">
        <x:v>2026-10-08T15:00:00.000Z</x:v>
      </x:c>
      <x:c r="X5" s="12" t="str">
        <x:v>Pendente</x:v>
      </x:c>
      <x:c r="Y5" s="12" t="str">
        <x:v>Não iniciado</x:v>
      </x:c>
      <x:c r="Z5" s="12" t="n">
        <x:v>1</x:v>
      </x:c>
      <x:c r="AA5" s="13" t="str">
        <x:v>Pesquisar a conta e validar o ICP antes da abordagem.</x:v>
      </x:c>
    </x:row>
    <x:row r="6" ht="44" customHeight="1">
      <x:c r="A6" s="16" t="n">
        <x:v>2</x:v>
      </x:c>
      <x:c r="B6" s="16" t="str">
        <x:v>A</x:v>
      </x:c>
      <x:c r="C6" s="16" t="n">
        <x:v>97</x:v>
      </x:c>
      <x:c r="D6" s="12" t="str">
        <x:v>Eltton Andradee</x:v>
      </x:c>
      <x:c r="E6" s="12" t="str">
        <x:v>@elttonandradee</x:v>
      </x:c>
      <x:c r="F6" s="13" t="str">
        <x:v>💼 Empresário | Mercado Automotivo 🚘 🏢 @tagveiculos 👨🏽‍💻Transformando oportunidades em negócios ✝️ Fé, propósito e perseverança em Jesus📍Brasilia-Df</x:v>
      </x:c>
      <x:c r="G6" s="12" t="str">
        <x:v>Empresário</x:v>
      </x:c>
      <x:c r="H6" s="12" t="str">
        <x:v>TAG Veículos</x:v>
      </x:c>
      <x:c r="I6" s="12" t="str">
        <x:v>Decisor provável</x:v>
      </x:c>
      <x:c r="J6" s="17" t="n">
        <x:v>4606</x:v>
      </x:c>
      <x:c r="K6" s="12" t="str">
        <x:v>https://www.instagram.com/elttonandradee</x:v>
      </x:c>
      <x:c r="L6" s="12" t="str">
        <x:v>Não localizado</x:v>
      </x:c>
      <x:c r="M6" s="12" t="str">
        <x:v>5561991510770</x:v>
      </x:c>
      <x:c r="N6" s="12" t="str">
        <x:v>http://wa.me/5561991510770</x:v>
      </x:c>
      <x:c r="O6" s="13" t="str">
        <x:v>Grande líder! Levo comigo muitos dos seus ensinamentos, principalmente a importância de acreditar, enfrentar os desafios e nunca desistir dos nossos objetivos.👊🏽💪🏽</x:v>
      </x:c>
      <x:c r="P6" s="13" t="str">
        <x:v>https://www.instagram.com/p/Dd6TSoDDM_1/</x:v>
      </x:c>
      <x:c r="Q6" s="13" t="str">
        <x:v>@thedealerspodcast</x:v>
      </x:c>
      <x:c r="R6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6" s="13" t="str">
        <x:v>Empresário em TAG Veículos; pode influenciar processos de atendimento, vendas, CRM/BDC ou pós-venda.</x:v>
      </x:c>
      <x:c r="T6" s="13" t="str">
        <x:v>Confirmar empresa atual, nº de unidades, investimento em Ads e volume de novos leads no WhatsApp</x:v>
      </x:c>
      <x:c r="U6" s="13" t="str">
        <x:v>Abordagem direta e pesquisa da empresa</x:v>
      </x:c>
      <x:c r="V6" s="12" t="str">
        <x:v>Apify · Instagram Scraper</x:v>
      </x:c>
      <x:c r="W6" s="15" t="d">
        <x:v>2026-10-08T15:00:00.000Z</x:v>
      </x:c>
      <x:c r="X6" s="12" t="str">
        <x:v>Pendente</x:v>
      </x:c>
      <x:c r="Y6" s="12" t="str">
        <x:v>Não iniciado</x:v>
      </x:c>
      <x:c r="Z6" s="12" t="n">
        <x:v>1</x:v>
      </x:c>
      <x:c r="AA6" s="13" t="str">
        <x:v>Pesquisar a conta e validar o ICP antes da abordagem.</x:v>
      </x:c>
    </x:row>
    <x:row r="7" ht="44" customHeight="1">
      <x:c r="A7" s="16" t="n">
        <x:v>3</x:v>
      </x:c>
      <x:c r="B7" s="16" t="str">
        <x:v>A</x:v>
      </x:c>
      <x:c r="C7" s="16" t="n">
        <x:v>94</x:v>
      </x:c>
      <x:c r="D7" s="12" t="str">
        <x:v>SANDRA CARVALHO ⛤</x:v>
      </x:c>
      <x:c r="E7" s="12" t="str">
        <x:v>@sandra.carvalho0702</x:v>
      </x:c>
      <x:c r="F7" s="13" t="str">
        <x:v>Diretora Executiva AK Auto Center👩‍💻👩‍🔧 Mãe de Augusto e Sophia ❤ 💞 @conradokleber66 💍</x:v>
      </x:c>
      <x:c r="G7" s="12" t="str">
        <x:v>Diretora Executiva</x:v>
      </x:c>
      <x:c r="H7" s="12" t="str">
        <x:v>AK Auto Center</x:v>
      </x:c>
      <x:c r="I7" s="12" t="str">
        <x:v>Decisor provável</x:v>
      </x:c>
      <x:c r="J7" s="17" t="n">
        <x:v>1329</x:v>
      </x:c>
      <x:c r="K7" s="12" t="str">
        <x:v>https://www.instagram.com/sandra.carvalho0702</x:v>
      </x:c>
      <x:c r="L7" s="12" t="str">
        <x:v>Não localizado</x:v>
      </x:c>
      <x:c r="M7" s="12" t="str">
        <x:v>Não localizado</x:v>
      </x:c>
      <x:c r="N7" s="12" t="str">
        <x:v>https://www.instagram.com/akautocenteroficial?igsh=MW5zMnFvemxkN3h4NQ%253D%253D&amp;utm_source=qr</x:v>
      </x:c>
      <x:c r="O7" s="13" t="str">
        <x:v>Parabéns a todos os envolvidos 👏👏👏👏👏👏 Parabéns @paula</x:v>
      </x:c>
      <x:c r="P7" s="13" t="str">
        <x:v>https://www.instagram.com/p/Dd-Cf9QsekT/</x:v>
      </x:c>
      <x:c r="Q7" s="13" t="str">
        <x:v>@automotive_business</x:v>
      </x:c>
      <x:c r="R7" s="13" t="str">
        <x:v>Mais um #ABX que movimentou o setor automotivo e da mobilidade em um único dia! 🤩 Foram 13 palcos de conteúdo, mais de 200 palestrantes e debates sobre tecnologia e inovação, mobilidade, energia e insumos, varejo, agro, transporte, gestão de frotas, diversida</x:v>
      </x:c>
      <x:c r="S7" s="13" t="str">
        <x:v>Diretora Executiva em AK Auto Center; pode influenciar processos de atendimento, vendas, CRM/BDC ou pós-venda.</x:v>
      </x:c>
      <x:c r="T7" s="13" t="str">
        <x:v>Confirmar empresa atual, nº de unidades, investimento em Ads e volume de novos leads no WhatsApp</x:v>
      </x:c>
      <x:c r="U7" s="13" t="str">
        <x:v>Abordagem direta e pesquisa da empresa</x:v>
      </x:c>
      <x:c r="V7" s="12" t="str">
        <x:v>Apify · Instagram Scraper</x:v>
      </x:c>
      <x:c r="W7" s="15" t="d">
        <x:v>2026-10-08T15:00:00.000Z</x:v>
      </x:c>
      <x:c r="X7" s="12" t="str">
        <x:v>Pendente</x:v>
      </x:c>
      <x:c r="Y7" s="12" t="str">
        <x:v>Não iniciado</x:v>
      </x:c>
      <x:c r="Z7" s="12" t="n">
        <x:v>1</x:v>
      </x:c>
      <x:c r="AA7" s="13" t="str">
        <x:v>Pesquisar a conta e validar o ICP antes da abordagem.</x:v>
      </x:c>
    </x:row>
    <x:row r="8" ht="44" customHeight="1">
      <x:c r="A8" s="16" t="n">
        <x:v>4</x:v>
      </x:c>
      <x:c r="B8" s="16" t="str">
        <x:v>A</x:v>
      </x:c>
      <x:c r="C8" s="16" t="n">
        <x:v>94</x:v>
      </x:c>
      <x:c r="D8" s="12" t="str">
        <x:v>Jaime Campelo Bessa</x:v>
      </x:c>
      <x:c r="E8" s="12" t="str">
        <x:v>@jaimedapro</x:v>
      </x:c>
      <x:c r="F8" s="13" t="str">
        <x:v>▪️Mais de 10 anos de experiência no mercado automotivo. @proveiculosmanaus @aluguenapro @alveam.am Estoque da melhor de Manaus! 👇🏻</x:v>
      </x:c>
      <x:c r="G8" s="12" t="str">
        <x:v>Profissional / empresário automotivo</x:v>
      </x:c>
      <x:c r="H8" s="12" t="str">
        <x:v>Pro Veículos Manaus / Alugue na Pro / Alveam</x:v>
      </x:c>
      <x:c r="I8" s="12" t="str">
        <x:v>Decisor provável</x:v>
      </x:c>
      <x:c r="J8" s="17" t="n">
        <x:v>929</x:v>
      </x:c>
      <x:c r="K8" s="12" t="str">
        <x:v>https://www.instagram.com/jaimedapro</x:v>
      </x:c>
      <x:c r="L8" s="12" t="str">
        <x:v>Não localizado</x:v>
      </x:c>
      <x:c r="M8" s="12" t="str">
        <x:v>Não localizado</x:v>
      </x:c>
      <x:c r="N8" s="12" t="str">
        <x:v>http://www.proveiculosmanaus.com.br</x:v>
      </x:c>
      <x:c r="O8" s="13" t="str">
        <x:v>Estou tendo problemas, gostaria de suporte</x:v>
      </x:c>
      <x:c r="P8" s="13" t="str">
        <x:v>https://www.instagram.com/p/DeAei4wFPj5/</x:v>
      </x:c>
      <x:c r="Q8" s="13" t="str">
        <x:v>@autoavaliar</x:v>
      </x:c>
      <x:c r="R8" s="13" t="str">
        <x:v>A Auto Avaliar marcou presença no #ABX26, o Automotive Business Experience, no São Paulo Expo. E foi pra somar no debate que está na cabeça de todo mundo no setor: a consolidação do mercado, quem compra, quem vende e quem desaparece. Fusões e aquisições estão </x:v>
      </x:c>
      <x:c r="S8" s="13" t="str">
        <x:v>Profissional / empresário automotivo em Pro Veículos Manaus / Alugue na Pro / Alveam; pode influenciar processos de atendimento, vendas, CRM/BDC ou pós-venda.</x:v>
      </x:c>
      <x:c r="T8" s="13" t="str">
        <x:v>Confirmar empresa atual, nº de unidades, investimento em Ads e volume de novos leads no WhatsApp</x:v>
      </x:c>
      <x:c r="U8" s="13" t="str">
        <x:v>Abordagem direta e pesquisa da empresa</x:v>
      </x:c>
      <x:c r="V8" s="12" t="str">
        <x:v>Apify · Instagram Scraper</x:v>
      </x:c>
      <x:c r="W8" s="15" t="d">
        <x:v>2026-10-08T15:00:00.000Z</x:v>
      </x:c>
      <x:c r="X8" s="12" t="str">
        <x:v>Pendente</x:v>
      </x:c>
      <x:c r="Y8" s="12" t="str">
        <x:v>Não iniciado</x:v>
      </x:c>
      <x:c r="Z8" s="12" t="n">
        <x:v>1</x:v>
      </x:c>
      <x:c r="AA8" s="13" t="str">
        <x:v>Pesquisar a conta e validar o ICP antes da abordagem.</x:v>
      </x:c>
    </x:row>
    <x:row r="9" ht="44" customHeight="1">
      <x:c r="A9" s="16" t="n">
        <x:v>5</x:v>
      </x:c>
      <x:c r="B9" s="16" t="str">
        <x:v>A</x:v>
      </x:c>
      <x:c r="C9" s="16" t="n">
        <x:v>93</x:v>
      </x:c>
      <x:c r="D9" s="12" t="str">
        <x:v>Dallyane Barbosa Costa</x:v>
      </x:c>
      <x:c r="E9" s="12" t="str">
        <x:v>@dallyanecostahonda</x:v>
      </x:c>
      <x:c r="F9" s="13" t="str">
        <x:v>Coordenadora Web/ F&amp;I @alagoasmotos 🪽🏅 💥Realizando o sonho da sua Honda 💳À vista • Cartão • Financiamento • Consórcio 📲 100% online 🏍️ clique aqui 👇🏻</x:v>
      </x:c>
      <x:c r="G9" s="12" t="str">
        <x:v>Coordenadora Web / F&amp;I</x:v>
      </x:c>
      <x:c r="H9" s="12" t="str">
        <x:v>Alagoas Motos</x:v>
      </x:c>
      <x:c r="I9" s="12" t="str">
        <x:v>Influenciador interno</x:v>
      </x:c>
      <x:c r="J9" s="17" t="n">
        <x:v>6071</x:v>
      </x:c>
      <x:c r="K9" s="12" t="str">
        <x:v>https://www.instagram.com/dallyanecostahonda</x:v>
      </x:c>
      <x:c r="L9" s="12" t="str">
        <x:v>Não localizado</x:v>
      </x:c>
      <x:c r="M9" s="12" t="str">
        <x:v>558299960571</x:v>
      </x:c>
      <x:c r="N9" s="12" t="str">
        <x:v>http://wa.me/558299960571</x:v>
      </x:c>
      <x:c r="O9" s="13" t="str">
        <x:v>A gigante de Alagoas 👏😍🚀🎯</x:v>
      </x:c>
      <x:c r="P9" s="13" t="str">
        <x:v>https://www.instagram.com/p/DeAdQGkNGVG/</x:v>
      </x:c>
      <x:c r="Q9" s="13" t="str">
        <x:v>@alagoasmotos</x:v>
      </x:c>
      <x:c r="R9" s="13" t="str">
        <x:v>🚀 A Alagoas Motos está crescendo em Palmeira dos Índios! E para acompanhar esse crescimento, estamos chegando com mais um ponto na cidade, trazendo mais motos, mais oportunidades e ainda mais qualidade no atendimento. É a Gigante crescendo para estar cada vez</x:v>
      </x:c>
      <x:c r="S9" s="13" t="str">
        <x:v>Coordenadora Web / F&amp;I em Alagoas Motos; pode influenciar processos de atendimento, vendas, CRM/BDC ou pós-venda.</x:v>
      </x:c>
      <x:c r="T9" s="13" t="str">
        <x:v>Confirmar empresa atual, nº de unidades, investimento em Ads e volume de novos leads no WhatsApp</x:v>
      </x:c>
      <x:c r="U9" s="13" t="str">
        <x:v>Usar como champion e pedir contexto/indicação do responsável</x:v>
      </x:c>
      <x:c r="V9" s="12" t="str">
        <x:v>Apify · Instagram Scraper</x:v>
      </x:c>
      <x:c r="W9" s="15" t="d">
        <x:v>2026-10-08T15:00:00.000Z</x:v>
      </x:c>
      <x:c r="X9" s="12" t="str">
        <x:v>Pendente</x:v>
      </x:c>
      <x:c r="Y9" s="12" t="str">
        <x:v>Não iniciado</x:v>
      </x:c>
      <x:c r="Z9" s="12" t="n">
        <x:v>12</x:v>
      </x:c>
      <x:c r="AA9" s="13" t="str">
        <x:v>Conta com 12 contatos: escolher 1 decisor e 1 champion antes da abordagem.</x:v>
      </x:c>
    </x:row>
    <x:row r="10" ht="44" customHeight="1">
      <x:c r="A10" s="16" t="n">
        <x:v>6</x:v>
      </x:c>
      <x:c r="B10" s="16" t="str">
        <x:v>A</x:v>
      </x:c>
      <x:c r="C10" s="16" t="n">
        <x:v>93</x:v>
      </x:c>
      <x:c r="D10" s="12" t="str">
        <x:v>Deyvid Bezerra</x:v>
      </x:c>
      <x:c r="E10" s="12" t="str">
        <x:v>@deyvid.honda</x:v>
      </x:c>
      <x:c r="F10" s="13" t="str">
        <x:v>🏍️ Coordenador de vendas 🏍️ 📍@alagoasmotos 📍 📱Chama No Zap📱 Clica no Link 👇🏽👇🏽👇🏽</x:v>
      </x:c>
      <x:c r="G10" s="12" t="str">
        <x:v>Coordenador de Vendas</x:v>
      </x:c>
      <x:c r="H10" s="12" t="str">
        <x:v>Alagoas Motos</x:v>
      </x:c>
      <x:c r="I10" s="12" t="str">
        <x:v>Influenciador interno</x:v>
      </x:c>
      <x:c r="J10" s="17" t="n">
        <x:v>1426</x:v>
      </x:c>
      <x:c r="K10" s="12" t="str">
        <x:v>https://www.instagram.com/deyvid.honda</x:v>
      </x:c>
      <x:c r="L10" s="12" t="str">
        <x:v>Não localizado</x:v>
      </x:c>
      <x:c r="M10" s="12" t="str">
        <x:v>5582998184800</x:v>
      </x:c>
      <x:c r="N10" s="12" t="str">
        <x:v>https://wa.me/5582998184800</x:v>
      </x:c>
      <x:c r="O10" s="13" t="str">
        <x:v>Excelente 👏🏽👏🏽👏🏽</x:v>
      </x:c>
      <x:c r="P10" s="13" t="str">
        <x:v>https://www.instagram.com/p/DeAdQGkNGVG/</x:v>
      </x:c>
      <x:c r="Q10" s="13" t="str">
        <x:v>@alagoasmotos</x:v>
      </x:c>
      <x:c r="R10" s="13" t="str">
        <x:v>🚀 A Alagoas Motos está crescendo em Palmeira dos Índios! E para acompanhar esse crescimento, estamos chegando com mais um ponto na cidade, trazendo mais motos, mais oportunidades e ainda mais qualidade no atendimento. É a Gigante crescendo para estar cada vez</x:v>
      </x:c>
      <x:c r="S10" s="13" t="str">
        <x:v>Coordenador de Vendas em Alagoas Motos; pode influenciar processos de atendimento, vendas, CRM/BDC ou pós-venda.</x:v>
      </x:c>
      <x:c r="T10" s="13" t="str">
        <x:v>Confirmar empresa atual, nº de unidades, investimento em Ads e volume de novos leads no WhatsApp</x:v>
      </x:c>
      <x:c r="U10" s="13" t="str">
        <x:v>Usar como champion e pedir contexto/indicação do responsável</x:v>
      </x:c>
      <x:c r="V10" s="12" t="str">
        <x:v>Apify · Instagram Scraper</x:v>
      </x:c>
      <x:c r="W10" s="15" t="d">
        <x:v>2026-10-08T15:00:00.000Z</x:v>
      </x:c>
      <x:c r="X10" s="12" t="str">
        <x:v>Pendente</x:v>
      </x:c>
      <x:c r="Y10" s="12" t="str">
        <x:v>Não iniciado</x:v>
      </x:c>
      <x:c r="Z10" s="12" t="n">
        <x:v>12</x:v>
      </x:c>
      <x:c r="AA10" s="13" t="str">
        <x:v>Conta com 12 contatos: escolher 1 decisor e 1 champion antes da abordagem.</x:v>
      </x:c>
    </x:row>
    <x:row r="11" ht="44" customHeight="1">
      <x:c r="A11" s="16" t="n">
        <x:v>7</x:v>
      </x:c>
      <x:c r="B11" s="16" t="str">
        <x:v>A</x:v>
      </x:c>
      <x:c r="C11" s="16" t="n">
        <x:v>93</x:v>
      </x:c>
      <x:c r="D11" s="12" t="str">
        <x:v>Emerson Angelino Cavalcante</x:v>
      </x:c>
      <x:c r="E11" s="12" t="str">
        <x:v>@emerson.honda</x:v>
      </x:c>
      <x:c r="F11" s="13" t="str">
        <x:v>💻 Gerente do consórcio da Alagoas Motos 🗒️ Instrutor de treinamentos do Produto Consórcio e abordagem externa. Bacharel em Ciências Contábeis.</x:v>
      </x:c>
      <x:c r="G11" s="12" t="str">
        <x:v>Gerente de Consórcio e instrutor</x:v>
      </x:c>
      <x:c r="H11" s="12" t="str">
        <x:v>Alagoas Motos</x:v>
      </x:c>
      <x:c r="I11" s="12" t="str">
        <x:v>Influenciador interno</x:v>
      </x:c>
      <x:c r="J11" s="17" t="n">
        <x:v>1365</x:v>
      </x:c>
      <x:c r="K11" s="12" t="str">
        <x:v>https://www.instagram.com/emerson.honda</x:v>
      </x:c>
      <x:c r="L11" s="12" t="str">
        <x:v>Não localizado</x:v>
      </x:c>
      <x:c r="M11" s="12" t="str">
        <x:v>5582999890705</x:v>
      </x:c>
      <x:c r="N11" s="12" t="str">
        <x:v>http://wa.me/5582999890705</x:v>
      </x:c>
      <x:c r="O11" s="13" t="str">
        <x:v>👏👏👏👏👏aí é fera viu</x:v>
      </x:c>
      <x:c r="P11" s="13" t="str">
        <x:v>https://www.instagram.com/p/DdCgIByvjcl/</x:v>
      </x:c>
      <x:c r="Q11" s="13" t="str">
        <x:v>@guilherme.honda1</x:v>
      </x:c>
      <x:c r="R11" s="13" t="str">
        <x:v>Papo sobre vendas , Ep 1. 🎥 Vender uma moto não é simplesmente entregar um veículo. É participar da realização de um sonho e ajudar as pessoas a conquistar mais mobilidade e melhorar a sua qualidade de vida! Na Liderança na Ponta, compartilho minha experiênci</x:v>
      </x:c>
      <x:c r="S11" s="13" t="str">
        <x:v>Gerente de Consórcio e instrutor em Alagoas Motos; pode influenciar processos de atendimento, vendas, CRM/BDC ou pós-venda.</x:v>
      </x:c>
      <x:c r="T11" s="13" t="str">
        <x:v>Confirmar empresa atual, nº de unidades, investimento em Ads e volume de novos leads no WhatsApp</x:v>
      </x:c>
      <x:c r="U11" s="13" t="str">
        <x:v>Usar como champion e pedir contexto/indicação do responsável</x:v>
      </x:c>
      <x:c r="V11" s="12" t="str">
        <x:v>Apify · Instagram Scraper</x:v>
      </x:c>
      <x:c r="W11" s="15" t="d">
        <x:v>2026-10-08T15:00:00.000Z</x:v>
      </x:c>
      <x:c r="X11" s="12" t="str">
        <x:v>Pendente</x:v>
      </x:c>
      <x:c r="Y11" s="12" t="str">
        <x:v>Não iniciado</x:v>
      </x:c>
      <x:c r="Z11" s="12" t="n">
        <x:v>12</x:v>
      </x:c>
      <x:c r="AA11" s="13" t="str">
        <x:v>Conta com 12 contatos: escolher 1 decisor e 1 champion antes da abordagem.</x:v>
      </x:c>
    </x:row>
    <x:row r="12" ht="44" customHeight="1">
      <x:c r="A12" s="16" t="n">
        <x:v>8</x:v>
      </x:c>
      <x:c r="B12" s="16" t="str">
        <x:v>A</x:v>
      </x:c>
      <x:c r="C12" s="16" t="n">
        <x:v>92</x:v>
      </x:c>
      <x:c r="D12" s="12" t="str">
        <x:v>Jefferson Furstenau</x:v>
      </x:c>
      <x:c r="E12" s="12" t="str">
        <x:v>@jefferson.sunmotors</x:v>
      </x:c>
      <x:c r="F12" s="13" t="str">
        <x:v>É preciso saber viver! Vender automóveis e motos não é só o meu negócio, é a minha vida @kiasunmotors @suzukisunmotors</x:v>
      </x:c>
      <x:c r="G12" s="12" t="str">
        <x:v>Empresário / profissional automotivo</x:v>
      </x:c>
      <x:c r="H12" s="12" t="str">
        <x:v>Kia Sun Motors / Suzuki Sun Motors</x:v>
      </x:c>
      <x:c r="I12" s="12" t="str">
        <x:v>Decisor provável</x:v>
      </x:c>
      <x:c r="J12" s="17" t="n">
        <x:v>5098</x:v>
      </x:c>
      <x:c r="K12" s="12" t="str">
        <x:v>https://www.instagram.com/jefferson.sunmotors</x:v>
      </x:c>
      <x:c r="L12" s="12" t="str">
        <x:v>Não localizado</x:v>
      </x:c>
      <x:c r="M12" s="12" t="str">
        <x:v>Não localizado</x:v>
      </x:c>
      <x:c r="N12" s="12" t="str">
        <x:v>Não localizado</x:v>
      </x:c>
      <x:c r="O12" s="13" t="str">
        <x:v>Muito boa esta super equipe que faz nossa entidade acontecer. Obrigado pela dedicação de vocês. 🙌🙌🙌</x:v>
      </x:c>
      <x:c r="P12" s="13" t="str">
        <x:v>https://www.instagram.com/p/DaLpVUNmg3l/</x:v>
      </x:c>
      <x:c r="Q12" s="13" t="str">
        <x:v>@sincodivrs</x:v>
      </x:c>
      <x:c r="R12" s="13" t="str">
        <x:v>Conheça quem faz o SINCODIV/FENABRAVE-RS acontecer. Por trás de cada atendimento, evento, treinamento e iniciativa, existe uma equipe comprometida em oferecer suporte, informação e relacionamento de qualidade às concessionárias associadas. Karen Cunha Diretora</x:v>
      </x:c>
      <x:c r="S12" s="13" t="str">
        <x:v>Empresário / profissional automotivo em Kia Sun Motors / Suzuki Sun Motors; pode influenciar processos de atendimento, vendas, CRM/BDC ou pós-venda.</x:v>
      </x:c>
      <x:c r="T12" s="13" t="str">
        <x:v>Confirmar empresa atual, nº de unidades, investimento em Ads e volume de novos leads no WhatsApp</x:v>
      </x:c>
      <x:c r="U12" s="13" t="str">
        <x:v>Abordagem direta e pesquisa da empresa</x:v>
      </x:c>
      <x:c r="V12" s="12" t="str">
        <x:v>Apify · Instagram Scraper</x:v>
      </x:c>
      <x:c r="W12" s="15" t="d">
        <x:v>2026-10-08T15:00:00.000Z</x:v>
      </x:c>
      <x:c r="X12" s="12" t="str">
        <x:v>Pendente</x:v>
      </x:c>
      <x:c r="Y12" s="12" t="str">
        <x:v>Não iniciado</x:v>
      </x:c>
      <x:c r="Z12" s="12" t="n">
        <x:v>1</x:v>
      </x:c>
      <x:c r="AA12" s="13" t="str">
        <x:v>Pesquisar a conta e validar o ICP antes da abordagem.</x:v>
      </x:c>
    </x:row>
    <x:row r="13" ht="44" customHeight="1">
      <x:c r="A13" s="16" t="n">
        <x:v>9</x:v>
      </x:c>
      <x:c r="B13" s="16" t="str">
        <x:v>A</x:v>
      </x:c>
      <x:c r="C13" s="16" t="n">
        <x:v>92</x:v>
      </x:c>
      <x:c r="D13" s="12" t="str">
        <x:v>Bruno Bettéro</x:v>
      </x:c>
      <x:c r="E13" s="12" t="str">
        <x:v>@brunobettero</x:v>
      </x:c>
      <x:c r="F13" s="13" t="str">
        <x:v>🏍️ Gestor de Concessionária 📈 Performance Comercial 🎓 MBAs: FGV • PUC/RS • ESPM Bastidores + estratégia + execução Formação contínua</x:v>
      </x:c>
      <x:c r="G13" s="12" t="str">
        <x:v>Gestor de Concessionária</x:v>
      </x:c>
      <x:c r="H13" s="12" t="str">
        <x:v>Concessionária não identificada na bio</x:v>
      </x:c>
      <x:c r="I13" s="12" t="str">
        <x:v>Influenciador interno</x:v>
      </x:c>
      <x:c r="J13" s="17" t="n">
        <x:v>2054</x:v>
      </x:c>
      <x:c r="K13" s="12" t="str">
        <x:v>https://www.instagram.com/brunobettero</x:v>
      </x:c>
      <x:c r="L13" s="12" t="str">
        <x:v>Não localizado</x:v>
      </x:c>
      <x:c r="M13" s="12" t="str">
        <x:v>Não localizado</x:v>
      </x:c>
      <x:c r="N13" s="12" t="str">
        <x:v>Não localizado</x:v>
      </x:c>
      <x:c r="O13" s="13" t="str">
        <x:v>No Liderança na Ponta, seguimos fortalecendo uma das práticas mais importantes da gestão: ouvir quem está no campo, entender a realidade da operação e aprender com quem gera resultados todos os dias. Mais do que acompanhar indicadores, buscamos compreender processos, compartilhar experiências e desenvolver pessoas. É nessa proximidade que surgem os melhores insights, as oportunidades de melhoria e o crescimento sustentável das equipes. A liderança se torna mais efetiva quando está conectada à execução. E os melhores resultados acontecem quando desenvolvimento e performance caminham juntos. Obrigado @eusouadrianohonda e @guilherme.honda1 #LiderançaNaPonta #GestãoDePessoas #DesenvolvimentoDeLideranças #AltaPerformance #honda</x:v>
      </x:c>
      <x:c r="P13" s="13" t="str">
        <x:v>https://www.instagram.com/p/Da04BMtvm43/</x:v>
      </x:c>
      <x:c r="Q13" s="13" t="str">
        <x:v>@brunobettero</x:v>
      </x:c>
      <x:c r="R13" s="13" t="str">
        <x:v>No Liderança na Ponta, seguimos fortalecendo uma das práticas mais importantes da gestão: ouvir quem está no campo, entender a realidade da operação e aprender com quem gera resultados todos os dias. Mais do que acompanhar indicadores, buscamos compreender pro</x:v>
      </x:c>
      <x:c r="S13" s="13" t="str">
        <x:v>Gestor de Concessionária em Concessionária não identificada na bio; pode influenciar processos de atendimento, vendas, CRM/BDC ou pós-venda.</x:v>
      </x:c>
      <x:c r="T13" s="13" t="str">
        <x:v>Confirmar empresa atual, nº de unidades, investimento em Ads e volume de novos leads no WhatsApp</x:v>
      </x:c>
      <x:c r="U13" s="13" t="str">
        <x:v>Usar como champion e pedir contexto/indicação do responsável</x:v>
      </x:c>
      <x:c r="V13" s="12" t="str">
        <x:v>Apify · Instagram Scraper</x:v>
      </x:c>
      <x:c r="W13" s="15" t="d">
        <x:v>2026-10-08T15:00:00.000Z</x:v>
      </x:c>
      <x:c r="X13" s="12" t="str">
        <x:v>Pendente</x:v>
      </x:c>
      <x:c r="Y13" s="12" t="str">
        <x:v>Não iniciado</x:v>
      </x:c>
      <x:c r="Z13" s="12" t="n">
        <x:v>1</x:v>
      </x:c>
      <x:c r="AA13" s="13" t="str">
        <x:v>Pesquisar a conta e validar o ICP antes da abordagem.</x:v>
      </x:c>
    </x:row>
    <x:row r="14" ht="44" customHeight="1">
      <x:c r="A14" s="16" t="n">
        <x:v>10</x:v>
      </x:c>
      <x:c r="B14" s="16" t="str">
        <x:v>A</x:v>
      </x:c>
      <x:c r="C14" s="16" t="n">
        <x:v>91</x:v>
      </x:c>
      <x:c r="D14" s="12" t="str">
        <x:v>Gesivam Lopes</x:v>
      </x:c>
      <x:c r="E14" s="12" t="str">
        <x:v>@gesivamlopes</x:v>
      </x:c>
      <x:c r="F14" s="13" t="str">
        <x:v>🚗 Gerente de Vendas | Primavia Fiat 💡 0km e Seminovos com condições especiais 📍 Goiás | Brasília 📲 Fale comigo no WhatsApp 👇 Wa.me/5561996665425</x:v>
      </x:c>
      <x:c r="G14" s="12" t="str">
        <x:v>Gerente de Vendas</x:v>
      </x:c>
      <x:c r="H14" s="12" t="str">
        <x:v>Primavia Fiat</x:v>
      </x:c>
      <x:c r="I14" s="12" t="str">
        <x:v>Influenciador interno</x:v>
      </x:c>
      <x:c r="J14" s="17" t="n">
        <x:v>2073</x:v>
      </x:c>
      <x:c r="K14" s="12" t="str">
        <x:v>https://www.instagram.com/gesivamlopes</x:v>
      </x:c>
      <x:c r="L14" s="12" t="str">
        <x:v>Não localizado</x:v>
      </x:c>
      <x:c r="M14" s="12" t="str">
        <x:v>5561996665425</x:v>
      </x:c>
      <x:c r="N14" s="12" t="str">
        <x:v>Não localizado</x:v>
      </x:c>
      <x:c r="O14" s="13" t="str">
        <x:v>👏👏👏👏</x:v>
      </x:c>
      <x:c r="P14" s="13" t="str">
        <x:v>https://www.instagram.com/p/DeHPnDYj7CL/</x:v>
      </x:c>
      <x:c r="Q14" s="13" t="str">
        <x:v>@thedealerspodcast</x:v>
      </x:c>
      <x:c r="R14" s="13" t="str">
        <x:v>"Qual o maior legado da sua vida profissional?" A resposta do Alessandro Soldi, no THE DEALERS, não tem a ver com número de lojas nem faturamento: é ver quem começou como estagiário virar gerente, diretor, executivo. Pra ele, formar gente é o que fica de verda</x:v>
      </x:c>
      <x:c r="S14" s="13" t="str">
        <x:v>Gerente de Vendas em Primavia Fiat; pode influenciar processos de atendimento, vendas, CRM/BDC ou pós-venda.</x:v>
      </x:c>
      <x:c r="T14" s="13" t="str">
        <x:v>Confirmar empresa atual, nº de unidades, investimento em Ads e volume de novos leads no WhatsApp</x:v>
      </x:c>
      <x:c r="U14" s="13" t="str">
        <x:v>Usar como champion e pedir contexto/indicação do responsável</x:v>
      </x:c>
      <x:c r="V14" s="12" t="str">
        <x:v>Apify · Instagram Scraper</x:v>
      </x:c>
      <x:c r="W14" s="15" t="d">
        <x:v>2026-10-08T15:00:00.000Z</x:v>
      </x:c>
      <x:c r="X14" s="12" t="str">
        <x:v>Pendente</x:v>
      </x:c>
      <x:c r="Y14" s="12" t="str">
        <x:v>Não iniciado</x:v>
      </x:c>
      <x:c r="Z14" s="12" t="n">
        <x:v>1</x:v>
      </x:c>
      <x:c r="AA14" s="13" t="str">
        <x:v>Pesquisar a conta e validar o ICP antes da abordagem.</x:v>
      </x:c>
    </x:row>
    <x:row r="15" ht="44" customHeight="1">
      <x:c r="A15" s="16" t="n">
        <x:v>11</x:v>
      </x:c>
      <x:c r="B15" s="16" t="str">
        <x:v>A</x:v>
      </x:c>
      <x:c r="C15" s="16" t="n">
        <x:v>88</x:v>
      </x:c>
      <x:c r="D15" s="12" t="str">
        <x:v>Keyanny</x:v>
      </x:c>
      <x:c r="E15" s="12" t="str">
        <x:v>@keyannyalves</x:v>
      </x:c>
      <x:c r="F15" s="13" t="str">
        <x:v>✨ Gerente | Original Yamaha 🤍 Fé • Trabalho • Rotina 📍MA</x:v>
      </x:c>
      <x:c r="G15" s="12" t="str">
        <x:v>Gerente</x:v>
      </x:c>
      <x:c r="H15" s="12" t="str">
        <x:v>Original Yamaha</x:v>
      </x:c>
      <x:c r="I15" s="12" t="str">
        <x:v>Influenciador interno</x:v>
      </x:c>
      <x:c r="J15" s="17" t="n">
        <x:v>7948</x:v>
      </x:c>
      <x:c r="K15" s="12" t="str">
        <x:v>https://www.instagram.com/keyannyalves</x:v>
      </x:c>
      <x:c r="L15" s="12" t="str">
        <x:v>Não localizado</x:v>
      </x:c>
      <x:c r="M15" s="12" t="str">
        <x:v>Não localizado</x:v>
      </x:c>
      <x:c r="N15" s="12" t="str">
        <x:v>Não localizado</x:v>
      </x:c>
      <x:c r="O15" s="13" t="str">
        <x:v>👏👏👏👏👏</x:v>
      </x:c>
      <x:c r="P15" s="13" t="str">
        <x:v>https://www.instagram.com/p/DeHPnDYj7CL/</x:v>
      </x:c>
      <x:c r="Q15" s="13" t="str">
        <x:v>@thedealerspodcast</x:v>
      </x:c>
      <x:c r="R15" s="13" t="str">
        <x:v>"Qual o maior legado da sua vida profissional?" A resposta do Alessandro Soldi, no THE DEALERS, não tem a ver com número de lojas nem faturamento: é ver quem começou como estagiário virar gerente, diretor, executivo. Pra ele, formar gente é o que fica de verda</x:v>
      </x:c>
      <x:c r="S15" s="13" t="str">
        <x:v>Gerente em Original Yamaha; pode influenciar processos de atendimento, vendas, CRM/BDC ou pós-venda.</x:v>
      </x:c>
      <x:c r="T15" s="13" t="str">
        <x:v>Confirmar empresa atual, nº de unidades, investimento em Ads e volume de novos leads no WhatsApp</x:v>
      </x:c>
      <x:c r="U15" s="13" t="str">
        <x:v>Usar como champion e pedir contexto/indicação do responsável</x:v>
      </x:c>
      <x:c r="V15" s="12" t="str">
        <x:v>Apify · Instagram Scraper</x:v>
      </x:c>
      <x:c r="W15" s="15" t="d">
        <x:v>2026-10-08T15:00:00.000Z</x:v>
      </x:c>
      <x:c r="X15" s="12" t="str">
        <x:v>Pendente</x:v>
      </x:c>
      <x:c r="Y15" s="12" t="str">
        <x:v>Não iniciado</x:v>
      </x:c>
      <x:c r="Z15" s="12" t="n">
        <x:v>1</x:v>
      </x:c>
      <x:c r="AA15" s="13" t="str">
        <x:v>Pesquisar a conta e validar o ICP antes da abordagem.</x:v>
      </x:c>
    </x:row>
    <x:row r="16" ht="44" customHeight="1">
      <x:c r="A16" s="16" t="n">
        <x:v>12</x:v>
      </x:c>
      <x:c r="B16" s="16" t="str">
        <x:v>A</x:v>
      </x:c>
      <x:c r="C16" s="16" t="n">
        <x:v>88</x:v>
      </x:c>
      <x:c r="D16" s="12" t="str">
        <x:v>Reinaldo R. Cardoso | Conteúdo Automotivo</x:v>
      </x:c>
      <x:c r="E16" s="12" t="str">
        <x:v>@reicardoso</x:v>
      </x:c>
      <x:c r="F16" s="13" t="str">
        <x:v>📍Gerente Regional SP | Vendas 🎓Engenheiro Mecânico | MBA FGV 📈 36 anos no Seg. Aut. - Pós Vendas Lifestyle - Cristão | Família | Esporte</x:v>
      </x:c>
      <x:c r="G16" s="12" t="str">
        <x:v>Gerente Regional de Vendas</x:v>
      </x:c>
      <x:c r="H16" s="12" t="str">
        <x:v>Empresa não identificada na bio</x:v>
      </x:c>
      <x:c r="I16" s="12" t="str">
        <x:v>Influenciador interno</x:v>
      </x:c>
      <x:c r="J16" s="17" t="n">
        <x:v>4062</x:v>
      </x:c>
      <x:c r="K16" s="12" t="str">
        <x:v>https://www.instagram.com/reicardoso</x:v>
      </x:c>
      <x:c r="L16" s="12" t="str">
        <x:v>Não localizado</x:v>
      </x:c>
      <x:c r="M16" s="12" t="str">
        <x:v>Não localizado</x:v>
      </x:c>
      <x:c r="N16" s="12" t="str">
        <x:v>Não localizado</x:v>
      </x:c>
      <x:c r="O16" s="13" t="str">
        <x:v>Uhu 🥳 👏👏👏👏</x:v>
      </x:c>
      <x:c r="P16" s="13" t="str">
        <x:v>https://www.instagram.com/p/DcjQvuDkppM/</x:v>
      </x:c>
      <x:c r="Q16" s="13" t="str">
        <x:v>@mobato.oficial</x:v>
      </x:c>
      <x:c r="R16" s="13" t="str">
        <x:v>Tecnologia também é sobre confiança. 🔐 A Mobato comemora a conquista da certificação ISO 27001, um importante reconhecimento do nosso compromisso com a segurança da informação e com a proteção dos dados que fazem parte da nossa operação. Essa certificação ref</x:v>
      </x:c>
      <x:c r="S16" s="13" t="str">
        <x:v>Gerente Regional de Vendas em Empresa não identificada na bio; pode influenciar processos de atendimento, vendas, CRM/BDC ou pós-venda.</x:v>
      </x:c>
      <x:c r="T16" s="13" t="str">
        <x:v>Confirmar empresa atual, nº de unidades, investimento em Ads e volume de novos leads no WhatsApp</x:v>
      </x:c>
      <x:c r="U16" s="13" t="str">
        <x:v>Usar como champion e pedir contexto/indicação do responsável</x:v>
      </x:c>
      <x:c r="V16" s="12" t="str">
        <x:v>Apify · Instagram Scraper</x:v>
      </x:c>
      <x:c r="W16" s="15" t="d">
        <x:v>2026-10-08T15:00:00.000Z</x:v>
      </x:c>
      <x:c r="X16" s="12" t="str">
        <x:v>Pendente</x:v>
      </x:c>
      <x:c r="Y16" s="12" t="str">
        <x:v>Não iniciado</x:v>
      </x:c>
      <x:c r="Z16" s="12" t="n">
        <x:v>2</x:v>
      </x:c>
      <x:c r="AA16" s="13" t="str">
        <x:v>Conta com 2 contatos: escolher 1 decisor e 1 champion antes da abordagem.</x:v>
      </x:c>
    </x:row>
    <x:row r="17" ht="44" customHeight="1">
      <x:c r="A17" s="16" t="n">
        <x:v>13</x:v>
      </x:c>
      <x:c r="B17" s="16" t="str">
        <x:v>A</x:v>
      </x:c>
      <x:c r="C17" s="16" t="n">
        <x:v>88</x:v>
      </x:c>
      <x:c r="D17" s="12" t="str">
        <x:v>Junior Mendes</x:v>
      </x:c>
      <x:c r="E17" s="12" t="str">
        <x:v>@juniormendes___</x:v>
      </x:c>
      <x:c r="F17" s="13" t="str">
        <x:v>•São luis-Ma🏝 •Gerente Comercial @originalsaoluis • @lisacamposss10 ❤️ •Corredor Iniciante🏃🏻‍➡️ •Musculação🏋🏻‍♂️ •Futebol ⚽️ • Hibryd 🔥🫀⚡️</x:v>
      </x:c>
      <x:c r="G17" s="12" t="str">
        <x:v>Gerente Comercial</x:v>
      </x:c>
      <x:c r="H17" s="12" t="str">
        <x:v>Original São Luís</x:v>
      </x:c>
      <x:c r="I17" s="12" t="str">
        <x:v>Influenciador interno</x:v>
      </x:c>
      <x:c r="J17" s="17" t="n">
        <x:v>2810</x:v>
      </x:c>
      <x:c r="K17" s="12" t="str">
        <x:v>https://www.instagram.com/juniormendes___</x:v>
      </x:c>
      <x:c r="L17" s="12" t="str">
        <x:v>Não localizado</x:v>
      </x:c>
      <x:c r="M17" s="12" t="str">
        <x:v>Não localizado</x:v>
      </x:c>
      <x:c r="N17" s="12" t="str">
        <x:v>Não localizado</x:v>
      </x:c>
      <x:c r="O17" s="13" t="str">
        <x:v>Um grande líder uma honra ter partilhado momentos com vc líder ! 👏🏻👏🏻👏🏻👏🏻</x:v>
      </x:c>
      <x:c r="P17" s="13" t="str">
        <x:v>https://www.instagram.com/p/Dd6TSoDDM_1/</x:v>
      </x:c>
      <x:c r="Q17" s="13" t="str">
        <x:v>@thedealerspodcast</x:v>
      </x:c>
      <x:c r="R17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17" s="13" t="str">
        <x:v>Gerente Comercial em Original São Luís; pode influenciar processos de atendimento, vendas, CRM/BDC ou pós-venda.</x:v>
      </x:c>
      <x:c r="T17" s="13" t="str">
        <x:v>Confirmar empresa atual, nº de unidades, investimento em Ads e volume de novos leads no WhatsApp</x:v>
      </x:c>
      <x:c r="U17" s="13" t="str">
        <x:v>Usar como champion e pedir contexto/indicação do responsável</x:v>
      </x:c>
      <x:c r="V17" s="12" t="str">
        <x:v>Apify · Instagram Scraper</x:v>
      </x:c>
      <x:c r="W17" s="15" t="d">
        <x:v>2026-10-08T15:00:00.000Z</x:v>
      </x:c>
      <x:c r="X17" s="12" t="str">
        <x:v>Pendente</x:v>
      </x:c>
      <x:c r="Y17" s="12" t="str">
        <x:v>Não iniciado</x:v>
      </x:c>
      <x:c r="Z17" s="12" t="n">
        <x:v>2</x:v>
      </x:c>
      <x:c r="AA17" s="13" t="str">
        <x:v>Conta com 2 contatos: escolher 1 decisor e 1 champion antes da abordagem.</x:v>
      </x:c>
    </x:row>
    <x:row r="18" ht="44" customHeight="1">
      <x:c r="A18" s="16" t="n">
        <x:v>14</x:v>
      </x:c>
      <x:c r="B18" s="16" t="str">
        <x:v>A</x:v>
      </x:c>
      <x:c r="C18" s="16" t="n">
        <x:v>88</x:v>
      </x:c>
      <x:c r="D18" s="12" t="str">
        <x:v>Ana Angélica</x:v>
      </x:c>
      <x:c r="E18" s="12" t="str">
        <x:v>@angelicaomena</x:v>
      </x:c>
      <x:c r="F18" s="13" t="str">
        <x:v>🧠J'accepte la grande aventure d'être moi. ✨Romanos 12:17. 👩🏻‍💻Gerente comercial no @ogrupogama</x:v>
      </x:c>
      <x:c r="G18" s="12" t="str">
        <x:v>Gerente Comercial</x:v>
      </x:c>
      <x:c r="H18" s="12" t="str">
        <x:v>Grupo Gama</x:v>
      </x:c>
      <x:c r="I18" s="12" t="str">
        <x:v>Influenciador interno</x:v>
      </x:c>
      <x:c r="J18" s="17" t="n">
        <x:v>1643</x:v>
      </x:c>
      <x:c r="K18" s="12" t="str">
        <x:v>https://www.instagram.com/angelicaomena</x:v>
      </x:c>
      <x:c r="L18" s="12" t="str">
        <x:v>Não localizado</x:v>
      </x:c>
      <x:c r="M18" s="12" t="str">
        <x:v>Não localizado</x:v>
      </x:c>
      <x:c r="N18" s="12" t="str">
        <x:v>Não localizado</x:v>
      </x:c>
      <x:c r="O18" s="13" t="str">
        <x:v>👏👏👏</x:v>
      </x:c>
      <x:c r="P18" s="13" t="str">
        <x:v>https://www.instagram.com/p/Ddca2lKDwdA/</x:v>
      </x:c>
      <x:c r="Q18" s="13" t="str">
        <x:v>@datadealeroficial</x:v>
      </x:c>
      <x:c r="R18" s="13" t="str">
        <x:v>Estivemos em Niterói para um treinamento presencial no Grupo Dinisa. 📊 Capacitar as equipes que usam a plataforma no dia a dia é parte do que entregamos, porque dado bem lido é dado que vira decisão.</x:v>
      </x:c>
      <x:c r="S18" s="13" t="str">
        <x:v>Gerente Comercial em Grupo Gama; pode influenciar processos de atendimento, vendas, CRM/BDC ou pós-venda.</x:v>
      </x:c>
      <x:c r="T18" s="13" t="str">
        <x:v>Confirmar empresa atual, nº de unidades, investimento em Ads e volume de novos leads no WhatsApp</x:v>
      </x:c>
      <x:c r="U18" s="13" t="str">
        <x:v>Usar como champion e pedir contexto/indicação do responsável</x:v>
      </x:c>
      <x:c r="V18" s="12" t="str">
        <x:v>Apify · Instagram Scraper</x:v>
      </x:c>
      <x:c r="W18" s="15" t="d">
        <x:v>2026-10-08T15:00:00.000Z</x:v>
      </x:c>
      <x:c r="X18" s="12" t="str">
        <x:v>Pendente</x:v>
      </x:c>
      <x:c r="Y18" s="12" t="str">
        <x:v>Não iniciado</x:v>
      </x:c>
      <x:c r="Z18" s="12" t="n">
        <x:v>1</x:v>
      </x:c>
      <x:c r="AA18" s="13" t="str">
        <x:v>Pesquisar a conta e validar o ICP antes da abordagem.</x:v>
      </x:c>
    </x:row>
    <x:row r="19" ht="44" customHeight="1">
      <x:c r="A19" s="16" t="n">
        <x:v>15</x:v>
      </x:c>
      <x:c r="B19" s="16" t="str">
        <x:v>A</x:v>
      </x:c>
      <x:c r="C19" s="16" t="n">
        <x:v>88</x:v>
      </x:c>
      <x:c r="D19" s="12" t="str">
        <x:v>Gessiane Nina| Original Caoa Chery</x:v>
      </x:c>
      <x:c r="E19" s="12" t="str">
        <x:v>@gessiane.nina</x:v>
      </x:c>
      <x:c r="F19" s="13" t="str">
        <x:v>Gerente comercial @caoacheryoriginalsaoluis 🖤❤️ Av dos Holandeses - Calhau 📍 venha realizar o seu sonho conosco Com Deus, tudo é possível! 🙏</x:v>
      </x:c>
      <x:c r="G19" s="12" t="str">
        <x:v>Gerente Comercial</x:v>
      </x:c>
      <x:c r="H19" s="12" t="str">
        <x:v>CAOA Chery Original São Luís</x:v>
      </x:c>
      <x:c r="I19" s="12" t="str">
        <x:v>Influenciador interno</x:v>
      </x:c>
      <x:c r="J19" s="17" t="n">
        <x:v>1514</x:v>
      </x:c>
      <x:c r="K19" s="12" t="str">
        <x:v>https://www.instagram.com/gessiane.nina</x:v>
      </x:c>
      <x:c r="L19" s="12" t="str">
        <x:v>Não localizado</x:v>
      </x:c>
      <x:c r="M19" s="12" t="str">
        <x:v>Não localizado</x:v>
      </x:c>
      <x:c r="N19" s="12" t="str">
        <x:v>Não localizado</x:v>
      </x:c>
      <x:c r="O19" s="13" t="str">
        <x:v>grande Lider e mentor ❤️🙌</x:v>
      </x:c>
      <x:c r="P19" s="13" t="str">
        <x:v>https://www.instagram.com/p/Dd6TSoDDM_1/</x:v>
      </x:c>
      <x:c r="Q19" s="13" t="str">
        <x:v>@thedealerspodcast</x:v>
      </x:c>
      <x:c r="R19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19" s="13" t="str">
        <x:v>Gerente Comercial em CAOA Chery Original São Luís; pode influenciar processos de atendimento, vendas, CRM/BDC ou pós-venda.</x:v>
      </x:c>
      <x:c r="T19" s="13" t="str">
        <x:v>Confirmar empresa atual, nº de unidades, investimento em Ads e volume de novos leads no WhatsApp</x:v>
      </x:c>
      <x:c r="U19" s="13" t="str">
        <x:v>Usar como champion e pedir contexto/indicação do responsável</x:v>
      </x:c>
      <x:c r="V19" s="12" t="str">
        <x:v>Apify · Instagram Scraper</x:v>
      </x:c>
      <x:c r="W19" s="15" t="d">
        <x:v>2026-10-08T15:00:00.000Z</x:v>
      </x:c>
      <x:c r="X19" s="12" t="str">
        <x:v>Pendente</x:v>
      </x:c>
      <x:c r="Y19" s="12" t="str">
        <x:v>Não iniciado</x:v>
      </x:c>
      <x:c r="Z19" s="12" t="n">
        <x:v>1</x:v>
      </x:c>
      <x:c r="AA19" s="13" t="str">
        <x:v>Pesquisar a conta e validar o ICP antes da abordagem.</x:v>
      </x:c>
    </x:row>
    <x:row r="20" ht="44" customHeight="1">
      <x:c r="A20" s="16" t="n">
        <x:v>16</x:v>
      </x:c>
      <x:c r="B20" s="16" t="str">
        <x:v>A</x:v>
      </x:c>
      <x:c r="C20" s="16" t="n">
        <x:v>88</x:v>
      </x:c>
      <x:c r="D20" s="12" t="str">
        <x:v>Leandro Guimarães</x:v>
      </x:c>
      <x:c r="E20" s="12" t="str">
        <x:v>@leandroguimaraesal</x:v>
      </x:c>
      <x:c r="F20" s="13" t="str">
        <x:v>Gerente Comercial na Alagoas Motos 📊 Há 12 anos desenvolvendo equipes e realizando sonhos ✨</x:v>
      </x:c>
      <x:c r="G20" s="12" t="str">
        <x:v>Gerente Comercial</x:v>
      </x:c>
      <x:c r="H20" s="12" t="str">
        <x:v>Alagoas Motos</x:v>
      </x:c>
      <x:c r="I20" s="12" t="str">
        <x:v>Influenciador interno</x:v>
      </x:c>
      <x:c r="J20" s="17" t="n">
        <x:v>1459</x:v>
      </x:c>
      <x:c r="K20" s="12" t="str">
        <x:v>https://www.instagram.com/leandroguimaraesal</x:v>
      </x:c>
      <x:c r="L20" s="12" t="str">
        <x:v>Não localizado</x:v>
      </x:c>
      <x:c r="M20" s="12" t="str">
        <x:v>Não localizado</x:v>
      </x:c>
      <x:c r="N20" s="12" t="str">
        <x:v>Não localizado</x:v>
      </x:c>
      <x:c r="O20" s="13" t="str">
        <x:v>👏🏻👏🏻👏🏻</x:v>
      </x:c>
      <x:c r="P20" s="13" t="str">
        <x:v>https://www.instagram.com/p/Dd1fBI_gjj3/</x:v>
      </x:c>
      <x:c r="Q20" s="13" t="str">
        <x:v>@brunobettero</x:v>
      </x:c>
      <x:c r="R20" s="13" t="str">
        <x:v>No vídeo de hoje, aproveitamos nossa ação de vendas em Feira Grande para bater um papo com o supervisor de Vendas Paulo Barros, falando um pouco sobre o trabalho desenvolvido na região e os desafios do dia a dia comercial. #AlagoasMotos #FeiraGrande #EquipeDeV</x:v>
      </x:c>
      <x:c r="S20" s="13" t="str">
        <x:v>Gerente Comercial em Alagoas Motos; pode influenciar processos de atendimento, vendas, CRM/BDC ou pós-venda.</x:v>
      </x:c>
      <x:c r="T20" s="13" t="str">
        <x:v>Confirmar empresa atual, nº de unidades, investimento em Ads e volume de novos leads no WhatsApp</x:v>
      </x:c>
      <x:c r="U20" s="13" t="str">
        <x:v>Usar como champion e pedir contexto/indicação do responsável</x:v>
      </x:c>
      <x:c r="V20" s="12" t="str">
        <x:v>Apify · Instagram Scraper</x:v>
      </x:c>
      <x:c r="W20" s="15" t="d">
        <x:v>2026-10-08T15:00:00.000Z</x:v>
      </x:c>
      <x:c r="X20" s="12" t="str">
        <x:v>Pendente</x:v>
      </x:c>
      <x:c r="Y20" s="12" t="str">
        <x:v>Não iniciado</x:v>
      </x:c>
      <x:c r="Z20" s="12" t="n">
        <x:v>12</x:v>
      </x:c>
      <x:c r="AA20" s="13" t="str">
        <x:v>Conta com 12 contatos: escolher 1 decisor e 1 champion antes da abordagem.</x:v>
      </x:c>
    </x:row>
    <x:row r="21" ht="44" customHeight="1">
      <x:c r="A21" s="16" t="n">
        <x:v>17</x:v>
      </x:c>
      <x:c r="B21" s="16" t="str">
        <x:v>A</x:v>
      </x:c>
      <x:c r="C21" s="16" t="n">
        <x:v>88</x:v>
      </x:c>
      <x:c r="D21" s="12" t="str">
        <x:v>Wallas Oliveira</x:v>
      </x:c>
      <x:c r="E21" s="12" t="str">
        <x:v>@wallasoliveira</x:v>
      </x:c>
      <x:c r="F21" s="13" t="str">
        <x:v>Livrai-nos do mal pensado, olhado, dito e escondido. 📈 Head Comercial @yourbestcarbsb</x:v>
      </x:c>
      <x:c r="G21" s="12" t="str">
        <x:v>Head Comercial</x:v>
      </x:c>
      <x:c r="H21" s="12" t="str">
        <x:v>Your Best Car BSB</x:v>
      </x:c>
      <x:c r="I21" s="12" t="str">
        <x:v>Influenciador interno</x:v>
      </x:c>
      <x:c r="J21" s="17" t="n">
        <x:v>1169</x:v>
      </x:c>
      <x:c r="K21" s="12" t="str">
        <x:v>https://www.instagram.com/wallasoliveira</x:v>
      </x:c>
      <x:c r="L21" s="12" t="str">
        <x:v>Não localizado</x:v>
      </x:c>
      <x:c r="M21" s="12" t="str">
        <x:v>Não localizado</x:v>
      </x:c>
      <x:c r="N21" s="12" t="str">
        <x:v>Não localizado</x:v>
      </x:c>
      <x:c r="O21" s="13" t="str">
        <x:v>Referência!! 👏🏻👏🏻👏🏻</x:v>
      </x:c>
      <x:c r="P21" s="13" t="str">
        <x:v>https://www.instagram.com/p/DeHPnDYj7CL/</x:v>
      </x:c>
      <x:c r="Q21" s="13" t="str">
        <x:v>@thedealerspodcast</x:v>
      </x:c>
      <x:c r="R21" s="13" t="str">
        <x:v>"Qual o maior legado da sua vida profissional?" A resposta do Alessandro Soldi, no THE DEALERS, não tem a ver com número de lojas nem faturamento: é ver quem começou como estagiário virar gerente, diretor, executivo. Pra ele, formar gente é o que fica de verda</x:v>
      </x:c>
      <x:c r="S21" s="13" t="str">
        <x:v>Head Comercial em Your Best Car BSB; pode influenciar processos de atendimento, vendas, CRM/BDC ou pós-venda.</x:v>
      </x:c>
      <x:c r="T21" s="13" t="str">
        <x:v>Confirmar empresa atual, nº de unidades, investimento em Ads e volume de novos leads no WhatsApp</x:v>
      </x:c>
      <x:c r="U21" s="13" t="str">
        <x:v>Usar como champion e pedir contexto/indicação do responsável</x:v>
      </x:c>
      <x:c r="V21" s="12" t="str">
        <x:v>Apify · Instagram Scraper</x:v>
      </x:c>
      <x:c r="W21" s="15" t="d">
        <x:v>2026-10-08T15:00:00.000Z</x:v>
      </x:c>
      <x:c r="X21" s="12" t="str">
        <x:v>Pendente</x:v>
      </x:c>
      <x:c r="Y21" s="12" t="str">
        <x:v>Não iniciado</x:v>
      </x:c>
      <x:c r="Z21" s="12" t="n">
        <x:v>1</x:v>
      </x:c>
      <x:c r="AA21" s="13" t="str">
        <x:v>Pesquisar a conta e validar o ICP antes da abordagem.</x:v>
      </x:c>
    </x:row>
    <x:row r="22" ht="44" customHeight="1">
      <x:c r="A22" s="16" t="n">
        <x:v>18</x:v>
      </x:c>
      <x:c r="B22" s="16" t="str">
        <x:v>A</x:v>
      </x:c>
      <x:c r="C22" s="16" t="n">
        <x:v>88</x:v>
      </x:c>
      <x:c r="D22" s="12" t="str">
        <x:v>Lucas Abreu /Carros Seminovos</x:v>
      </x:c>
      <x:c r="E22" s="12" t="str">
        <x:v>@lucas.babreu</x:v>
      </x:c>
      <x:c r="F22" s="13" t="str">
        <x:v>💻 Gestor Comercial Original Autos! 🚗 Carros Seminovos. 🤝 Negociação sem burocracia. 👨🏽‍💻 Atendimento Personalizado!</x:v>
      </x:c>
      <x:c r="G22" s="12" t="str">
        <x:v>Gestor Comercial</x:v>
      </x:c>
      <x:c r="H22" s="12" t="str">
        <x:v>Original Autos</x:v>
      </x:c>
      <x:c r="I22" s="12" t="str">
        <x:v>Influenciador interno</x:v>
      </x:c>
      <x:c r="J22" s="17" t="n">
        <x:v>1079</x:v>
      </x:c>
      <x:c r="K22" s="12" t="str">
        <x:v>https://www.instagram.com/lucas.babreu</x:v>
      </x:c>
      <x:c r="L22" s="12" t="str">
        <x:v>Não localizado</x:v>
      </x:c>
      <x:c r="M22" s="12" t="str">
        <x:v>Não localizado</x:v>
      </x:c>
      <x:c r="N22" s="12" t="str">
        <x:v>Não localizado</x:v>
      </x:c>
      <x:c r="O22" s="13" t="str">
        <x:v>👏👏</x:v>
      </x:c>
      <x:c r="P22" s="13" t="str">
        <x:v>https://www.instagram.com/p/Dd6TSoDDM_1/</x:v>
      </x:c>
      <x:c r="Q22" s="13" t="str">
        <x:v>@thedealerspodcast</x:v>
      </x:c>
      <x:c r="R22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22" s="13" t="str">
        <x:v>Gestor Comercial em Original Autos; pode influenciar processos de atendimento, vendas, CRM/BDC ou pós-venda.</x:v>
      </x:c>
      <x:c r="T22" s="13" t="str">
        <x:v>Confirmar empresa atual, nº de unidades, investimento em Ads e volume de novos leads no WhatsApp</x:v>
      </x:c>
      <x:c r="U22" s="13" t="str">
        <x:v>Usar como champion e pedir contexto/indicação do responsável</x:v>
      </x:c>
      <x:c r="V22" s="12" t="str">
        <x:v>Apify · Instagram Scraper</x:v>
      </x:c>
      <x:c r="W22" s="15" t="d">
        <x:v>2026-10-08T15:00:00.000Z</x:v>
      </x:c>
      <x:c r="X22" s="12" t="str">
        <x:v>Pendente</x:v>
      </x:c>
      <x:c r="Y22" s="12" t="str">
        <x:v>Não iniciado</x:v>
      </x:c>
      <x:c r="Z22" s="12" t="n">
        <x:v>1</x:v>
      </x:c>
      <x:c r="AA22" s="13" t="str">
        <x:v>Pesquisar a conta e validar o ICP antes da abordagem.</x:v>
      </x:c>
    </x:row>
    <x:row r="23" ht="44" customHeight="1">
      <x:c r="A23" s="16" t="n">
        <x:v>19</x:v>
      </x:c>
      <x:c r="B23" s="16" t="str">
        <x:v>A</x:v>
      </x:c>
      <x:c r="C23" s="16" t="n">
        <x:v>88</x:v>
      </x:c>
      <x:c r="D23" s="12" t="str">
        <x:v>Soljane Mendes</x:v>
      </x:c>
      <x:c r="E23" s="12" t="str">
        <x:v>@antoniasolijane</x:v>
      </x:c>
      <x:c r="F23" s="13" t="str">
        <x:v>💍 @mendesfernanado meu amor ❤️ Mãe @lukinhas.___ e Biel 🔥Em transformação 📈 Gerente de Pós Vendas @renaultoriginalsaoluis</x:v>
      </x:c>
      <x:c r="G23" s="12" t="str">
        <x:v>Gerente de Pós-Vendas</x:v>
      </x:c>
      <x:c r="H23" s="12" t="str">
        <x:v>Renault Original São Luís</x:v>
      </x:c>
      <x:c r="I23" s="12" t="str">
        <x:v>Influenciador interno</x:v>
      </x:c>
      <x:c r="J23" s="17" t="n">
        <x:v>548</x:v>
      </x:c>
      <x:c r="K23" s="12" t="str">
        <x:v>https://www.instagram.com/antoniasolijane</x:v>
      </x:c>
      <x:c r="L23" s="12" t="str">
        <x:v>Não localizado</x:v>
      </x:c>
      <x:c r="M23" s="12" t="str">
        <x:v>Não localizado</x:v>
      </x:c>
      <x:c r="N23" s="12" t="str">
        <x:v>Não localizado</x:v>
      </x:c>
      <x:c r="O23" s="13" t="str">
        <x:v>👏🏻👏🏻👏🏻👏🏻👏🏻</x:v>
      </x:c>
      <x:c r="P23" s="13" t="str">
        <x:v>https://www.instagram.com/p/Dd6TSoDDM_1/</x:v>
      </x:c>
      <x:c r="Q23" s="13" t="str">
        <x:v>@thedealerspodcast</x:v>
      </x:c>
      <x:c r="R23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23" s="13" t="str">
        <x:v>Gerente de Pós-Vendas em Renault Original São Luís; pode influenciar processos de atendimento, vendas, CRM/BDC ou pós-venda.</x:v>
      </x:c>
      <x:c r="T23" s="13" t="str">
        <x:v>Confirmar empresa atual, nº de unidades, investimento em Ads e volume de novos leads no WhatsApp</x:v>
      </x:c>
      <x:c r="U23" s="13" t="str">
        <x:v>Usar como champion e pedir contexto/indicação do responsável</x:v>
      </x:c>
      <x:c r="V23" s="12" t="str">
        <x:v>Apify · Instagram Scraper</x:v>
      </x:c>
      <x:c r="W23" s="15" t="d">
        <x:v>2026-10-08T15:00:00.000Z</x:v>
      </x:c>
      <x:c r="X23" s="12" t="str">
        <x:v>Pendente</x:v>
      </x:c>
      <x:c r="Y23" s="12" t="str">
        <x:v>Não iniciado</x:v>
      </x:c>
      <x:c r="Z23" s="12" t="n">
        <x:v>1</x:v>
      </x:c>
      <x:c r="AA23" s="13" t="str">
        <x:v>Pesquisar a conta e validar o ICP antes da abordagem.</x:v>
      </x:c>
    </x:row>
    <x:row r="24" ht="44" customHeight="1">
      <x:c r="A24" s="16" t="n">
        <x:v>20</x:v>
      </x:c>
      <x:c r="B24" s="16" t="str">
        <x:v>B</x:v>
      </x:c>
      <x:c r="C24" s="16" t="n">
        <x:v>73</x:v>
      </x:c>
      <x:c r="D24" s="12" t="str">
        <x:v>Mineiro da Honda | Consórcio em Arapiraca</x:v>
      </x:c>
      <x:c r="E24" s="12" t="str">
        <x:v>@izael_doconsorcio</x:v>
      </x:c>
      <x:c r="F24" s="13" t="str">
        <x:v>👨🏼‍💻 SUPERVISOR DE VENDAS 👨🏼‍🎓 Bacharel em Administração 🔥 Especialista Honda 🇧🇷 Atendo todo o Brasil 👨🏻‍💻 Gestão•Liderança•Resultado 📱 Simule aqui 👇🏼</x:v>
      </x:c>
      <x:c r="G24" s="12" t="str">
        <x:v>Supervisor de Vendas</x:v>
      </x:c>
      <x:c r="H24" s="12" t="str">
        <x:v>Alagoas Motos</x:v>
      </x:c>
      <x:c r="I24" s="12" t="str">
        <x:v>Influenciador operacional</x:v>
      </x:c>
      <x:c r="J24" s="17" t="n">
        <x:v>23459</x:v>
      </x:c>
      <x:c r="K24" s="12" t="str">
        <x:v>https://www.instagram.com/izael_doconsorcio</x:v>
      </x:c>
      <x:c r="L24" s="12" t="str">
        <x:v>Não localizado</x:v>
      </x:c>
      <x:c r="M24" s="12" t="str">
        <x:v>558220013162</x:v>
      </x:c>
      <x:c r="N24" s="12" t="str">
        <x:v>https://vendedor.site/izaelhonda</x:v>
      </x:c>
      <x:c r="O24" s="13" t="str">
        <x:v>Muito obrigado, vamos pra cima alcançar resultados ainda maiores 🔥🚀</x:v>
      </x:c>
      <x:c r="P24" s="13" t="str">
        <x:v>https://www.instagram.com/p/Dbwds0dNeIf/</x:v>
      </x:c>
      <x:c r="Q24" s="13" t="str">
        <x:v>@alagoasmotos</x:v>
      </x:c>
      <x:c r="R24" s="13" t="str">
        <x:v>Hoje celebramos mais um importante passo na construção da nossa equipe. Emerson Angelino foi efetivado como Gerente de Consórcio, e os vendedores Izael Pereira e Crys Tenório assumem um novo desafio como Supervisores de Consórcio. Essas conquistas representam </x:v>
      </x:c>
      <x:c r="S24" s="13" t="str">
        <x:v>Supervisor de Vendas no setor automotivo; bom contato para validar dor e chegar ao decisor da conta.</x:v>
      </x:c>
      <x:c r="T24" s="13" t="str">
        <x:v>Confirmar empresa atual, nº de unidades, investimento em Ads e volume de novos leads no WhatsApp</x:v>
      </x:c>
      <x:c r="U24" s="13" t="str">
        <x:v>Usar como champion e pedir contexto/indicação do responsável</x:v>
      </x:c>
      <x:c r="V24" s="12" t="str">
        <x:v>Apify · Instagram Scraper</x:v>
      </x:c>
      <x:c r="W24" s="15" t="d">
        <x:v>2026-10-08T15:00:00.000Z</x:v>
      </x:c>
      <x:c r="X24" s="12" t="str">
        <x:v>Pendente</x:v>
      </x:c>
      <x:c r="Y24" s="12" t="str">
        <x:v>Não iniciado</x:v>
      </x:c>
      <x:c r="Z24" s="12" t="n">
        <x:v>12</x:v>
      </x:c>
      <x:c r="AA24" s="13" t="str">
        <x:v>Conta com 12 contatos: escolher 1 decisor e 1 champion antes da abordagem.</x:v>
      </x:c>
    </x:row>
    <x:row r="25" ht="44" customHeight="1">
      <x:c r="A25" s="16" t="n">
        <x:v>21</x:v>
      </x:c>
      <x:c r="B25" s="16" t="str">
        <x:v>B</x:v>
      </x:c>
      <x:c r="C25" s="16" t="n">
        <x:v>73</x:v>
      </x:c>
      <x:c r="D25" s="12" t="str">
        <x:v>FAGNÉ </x:v>
      </x:c>
      <x:c r="E25" s="12" t="str">
        <x:v>@fagnerdahonda</x:v>
      </x:c>
      <x:c r="F25" s="13" t="str">
        <x:v>•A mais de 9 anos realizando sonhos 📝🏍️🎯😍 •Supervisor de vendas @alagoasmotos •Quer parar de andar a pé ? Fale com o fagné ! Click no link abaixo👇🏻</x:v>
      </x:c>
      <x:c r="G25" s="12" t="str">
        <x:v>Supervisor de Vendas</x:v>
      </x:c>
      <x:c r="H25" s="12" t="str">
        <x:v>Alagoas Motos</x:v>
      </x:c>
      <x:c r="I25" s="12" t="str">
        <x:v>Influenciador operacional</x:v>
      </x:c>
      <x:c r="J25" s="17" t="n">
        <x:v>4625</x:v>
      </x:c>
      <x:c r="K25" s="12" t="str">
        <x:v>https://www.instagram.com/fagnerdahonda</x:v>
      </x:c>
      <x:c r="L25" s="12" t="str">
        <x:v>Não localizado</x:v>
      </x:c>
      <x:c r="M25" s="12" t="str">
        <x:v>5582993424355</x:v>
      </x:c>
      <x:c r="N25" s="12" t="str">
        <x:v>http://wa.me/5582993424355</x:v>
      </x:c>
      <x:c r="O25" s="13" t="str">
        <x:v>👏👏</x:v>
      </x:c>
      <x:c r="P25" s="13" t="str">
        <x:v>https://www.instagram.com/p/DeAdQGkNGVG/</x:v>
      </x:c>
      <x:c r="Q25" s="13" t="str">
        <x:v>@alagoasmotos</x:v>
      </x:c>
      <x:c r="R25" s="13" t="str">
        <x:v>🚀 A Alagoas Motos está crescendo em Palmeira dos Índios! E para acompanhar esse crescimento, estamos chegando com mais um ponto na cidade, trazendo mais motos, mais oportunidades e ainda mais qualidade no atendimento. É a Gigante crescendo para estar cada vez</x:v>
      </x:c>
      <x:c r="S25" s="13" t="str">
        <x:v>Supervisor de Vendas no setor automotivo; bom contato para validar dor e chegar ao decisor da conta.</x:v>
      </x:c>
      <x:c r="T25" s="13" t="str">
        <x:v>Confirmar empresa atual, nº de unidades, investimento em Ads e volume de novos leads no WhatsApp</x:v>
      </x:c>
      <x:c r="U25" s="13" t="str">
        <x:v>Usar como champion e pedir contexto/indicação do responsável</x:v>
      </x:c>
      <x:c r="V25" s="12" t="str">
        <x:v>Apify · Instagram Scraper</x:v>
      </x:c>
      <x:c r="W25" s="15" t="d">
        <x:v>2026-10-08T15:00:00.000Z</x:v>
      </x:c>
      <x:c r="X25" s="12" t="str">
        <x:v>Pendente</x:v>
      </x:c>
      <x:c r="Y25" s="12" t="str">
        <x:v>Não iniciado</x:v>
      </x:c>
      <x:c r="Z25" s="12" t="n">
        <x:v>12</x:v>
      </x:c>
      <x:c r="AA25" s="13" t="str">
        <x:v>Conta com 12 contatos: escolher 1 decisor e 1 champion antes da abordagem.</x:v>
      </x:c>
    </x:row>
    <x:row r="26" ht="44" customHeight="1">
      <x:c r="A26" s="16" t="n">
        <x:v>22</x:v>
      </x:c>
      <x:c r="B26" s="16" t="str">
        <x:v>B</x:v>
      </x:c>
      <x:c r="C26" s="16" t="n">
        <x:v>70</x:v>
      </x:c>
      <x:c r="D26" s="12" t="str">
        <x:v>Klebson Wesley | Consórcio Honda</x:v>
      </x:c>
      <x:c r="E26" s="12" t="str">
        <x:v>@klebson_honda</x:v>
      </x:c>
      <x:c r="F26" s="13" t="str">
        <x:v>🏍️ Especialista em Consórcio Honda 👨‍💼 Supervisor de Vendas | Alagoas Motos 🚀 +10 anos no mercado Honda 📲 Simule seu plano 👇</x:v>
      </x:c>
      <x:c r="G26" s="12" t="str">
        <x:v>Supervisor de Vendas</x:v>
      </x:c>
      <x:c r="H26" s="12" t="str">
        <x:v>Alagoas Motos</x:v>
      </x:c>
      <x:c r="I26" s="12" t="str">
        <x:v>Influenciador operacional</x:v>
      </x:c>
      <x:c r="J26" s="17" t="n">
        <x:v>3633</x:v>
      </x:c>
      <x:c r="K26" s="12" t="str">
        <x:v>https://www.instagram.com/klebson_honda</x:v>
      </x:c>
      <x:c r="L26" s="12" t="str">
        <x:v>Não localizado</x:v>
      </x:c>
      <x:c r="M26" s="12" t="str">
        <x:v>Não localizado</x:v>
      </x:c>
      <x:c r="N26" s="12" t="str">
        <x:v>https://wa.me/message/5UMG5BQU7NMZK1</x:v>
      </x:c>
      <x:c r="O26" s="13" t="str">
        <x:v>👏👏👏</x:v>
      </x:c>
      <x:c r="P26" s="13" t="str">
        <x:v>https://www.instagram.com/p/DbHIQy_vIdZ/</x:v>
      </x:c>
      <x:c r="Q26" s="13" t="str">
        <x:v>@brunobettero</x:v>
      </x:c>
      <x:c r="R26" s="13" t="str">
        <x:v>Grandes resultados não acontecem por acaso. Conversei com @adriellehondaa , referência em financiamento e atualmente a vendedora nº 1 de Alagoas na modalidade. Mais de 40 minutos de conversa, muito aprendizado e vários insights sobre vendas. Mais do que falar </x:v>
      </x:c>
      <x:c r="S26" s="13" t="str">
        <x:v>Supervisor de Vendas no setor automotivo; bom contato para validar dor e chegar ao decisor da conta.</x:v>
      </x:c>
      <x:c r="T26" s="13" t="str">
        <x:v>Confirmar empresa atual, nº de unidades, investimento em Ads e volume de novos leads no WhatsApp</x:v>
      </x:c>
      <x:c r="U26" s="13" t="str">
        <x:v>Usar como champion e pedir contexto/indicação do responsável</x:v>
      </x:c>
      <x:c r="V26" s="12" t="str">
        <x:v>Apify · Instagram Scraper</x:v>
      </x:c>
      <x:c r="W26" s="15" t="d">
        <x:v>2026-10-08T15:00:00.000Z</x:v>
      </x:c>
      <x:c r="X26" s="12" t="str">
        <x:v>Pendente</x:v>
      </x:c>
      <x:c r="Y26" s="12" t="str">
        <x:v>Não iniciado</x:v>
      </x:c>
      <x:c r="Z26" s="12" t="n">
        <x:v>12</x:v>
      </x:c>
      <x:c r="AA26" s="13" t="str">
        <x:v>Conta com 12 contatos: escolher 1 decisor e 1 champion antes da abordagem.</x:v>
      </x:c>
    </x:row>
    <x:row r="27" ht="44" customHeight="1">
      <x:c r="A27" s="16" t="n">
        <x:v>23</x:v>
      </x:c>
      <x:c r="B27" s="16" t="str">
        <x:v>B</x:v>
      </x:c>
      <x:c r="C27" s="16" t="n">
        <x:v>70</x:v>
      </x:c>
      <x:c r="D27" s="12" t="str">
        <x:v>CRYS DA HONDA / CONSÓRCIO HONDA 🏆🥇🙏</x:v>
      </x:c>
      <x:c r="E27" s="12" t="str">
        <x:v>@crys_da_honda</x:v>
      </x:c>
      <x:c r="F27" s="13" t="str">
        <x:v>🏆 Supervisora de Vendas | Consórcio Honda 📈 Gestão • Estratégia • Resultados 🏍️ Especialista em realizar sonhos sobre duas rodas 👇 Faça sua simulação</x:v>
      </x:c>
      <x:c r="G27" s="12" t="str">
        <x:v>Supervisora de Vendas</x:v>
      </x:c>
      <x:c r="H27" s="12" t="str">
        <x:v>Alagoas Motos</x:v>
      </x:c>
      <x:c r="I27" s="12" t="str">
        <x:v>Influenciador operacional</x:v>
      </x:c>
      <x:c r="J27" s="17" t="n">
        <x:v>2591</x:v>
      </x:c>
      <x:c r="K27" s="12" t="str">
        <x:v>https://www.instagram.com/crys_da_honda</x:v>
      </x:c>
      <x:c r="L27" s="12" t="str">
        <x:v>Não localizado</x:v>
      </x:c>
      <x:c r="M27" s="12" t="str">
        <x:v>Não localizado</x:v>
      </x:c>
      <x:c r="N27" s="12" t="str">
        <x:v>https://multiplanos.app/cryslanesantos</x:v>
      </x:c>
      <x:c r="O27" s="13" t="str">
        <x:v>Gratidão demais! Vamos pra cima 🚀🔥</x:v>
      </x:c>
      <x:c r="P27" s="13" t="str">
        <x:v>https://www.instagram.com/p/Dbwds0dNeIf/</x:v>
      </x:c>
      <x:c r="Q27" s="13" t="str">
        <x:v>@alagoasmotos</x:v>
      </x:c>
      <x:c r="R27" s="13" t="str">
        <x:v>Hoje celebramos mais um importante passo na construção da nossa equipe. Emerson Angelino foi efetivado como Gerente de Consórcio, e os vendedores Izael Pereira e Crys Tenório assumem um novo desafio como Supervisores de Consórcio. Essas conquistas representam </x:v>
      </x:c>
      <x:c r="S27" s="13" t="str">
        <x:v>Supervisora de Vendas no setor automotivo; bom contato para validar dor e chegar ao decisor da conta.</x:v>
      </x:c>
      <x:c r="T27" s="13" t="str">
        <x:v>Confirmar empresa atual, nº de unidades, investimento em Ads e volume de novos leads no WhatsApp</x:v>
      </x:c>
      <x:c r="U27" s="13" t="str">
        <x:v>Usar como champion e pedir contexto/indicação do responsável</x:v>
      </x:c>
      <x:c r="V27" s="12" t="str">
        <x:v>Apify · Instagram Scraper</x:v>
      </x:c>
      <x:c r="W27" s="15" t="d">
        <x:v>2026-10-08T15:00:00.000Z</x:v>
      </x:c>
      <x:c r="X27" s="12" t="str">
        <x:v>Pendente</x:v>
      </x:c>
      <x:c r="Y27" s="12" t="str">
        <x:v>Não iniciado</x:v>
      </x:c>
      <x:c r="Z27" s="12" t="n">
        <x:v>12</x:v>
      </x:c>
      <x:c r="AA27" s="13" t="str">
        <x:v>Conta com 12 contatos: escolher 1 decisor e 1 champion antes da abordagem.</x:v>
      </x:c>
    </x:row>
    <x:row r="28" ht="44" customHeight="1">
      <x:c r="A28" s="16" t="n">
        <x:v>24</x:v>
      </x:c>
      <x:c r="B28" s="16" t="str">
        <x:v>B</x:v>
      </x:c>
      <x:c r="C28" s="16" t="n">
        <x:v>70</x:v>
      </x:c>
      <x:c r="D28" s="12" t="str">
        <x:v>GSerejo 🏅</x:v>
      </x:c>
      <x:c r="E28" s="12" t="str">
        <x:v>@lennyserejo</x:v>
      </x:c>
      <x:c r="F28" s="13" t="str">
        <x:v>“Amar a Deus sobre todas as coisas.” 📊 Especialista em Pós-Vendas | +13 anos 💼 Gestão • Estratégia • Liderança @originalsaoluis</x:v>
      </x:c>
      <x:c r="G28" s="12" t="str">
        <x:v>Especialista em Pós-Vendas</x:v>
      </x:c>
      <x:c r="H28" s="12" t="str">
        <x:v>Original São Luís</x:v>
      </x:c>
      <x:c r="I28" s="12" t="str">
        <x:v>Influenciador operacional</x:v>
      </x:c>
      <x:c r="J28" s="17" t="n">
        <x:v>2148</x:v>
      </x:c>
      <x:c r="K28" s="12" t="str">
        <x:v>https://www.instagram.com/lennyserejo</x:v>
      </x:c>
      <x:c r="L28" s="12" t="str">
        <x:v>Não localizado</x:v>
      </x:c>
      <x:c r="M28" s="12" t="str">
        <x:v>Não localizado</x:v>
      </x:c>
      <x:c r="N28" s="12" t="str">
        <x:v>https://wa.me/message/7QEC46VFR5BGH1</x:v>
      </x:c>
      <x:c r="O28" s="13" t="str">
        <x:v>Tão importante quanto chegar a algum lugar é lembrar de quem acreditou em você no meio do caminho. Gratidão sempre. 🤍</x:v>
      </x:c>
      <x:c r="P28" s="13" t="str">
        <x:v>https://www.instagram.com/p/DeHPnDYj7CL/</x:v>
      </x:c>
      <x:c r="Q28" s="13" t="str">
        <x:v>@thedealerspodcast</x:v>
      </x:c>
      <x:c r="R28" s="13" t="str">
        <x:v>"Qual o maior legado da sua vida profissional?" A resposta do Alessandro Soldi, no THE DEALERS, não tem a ver com número de lojas nem faturamento: é ver quem começou como estagiário virar gerente, diretor, executivo. Pra ele, formar gente é o que fica de verda</x:v>
      </x:c>
      <x:c r="S28" s="13" t="str">
        <x:v>Especialista em Pós-Vendas no setor automotivo; bom contato para validar dor e chegar ao decisor da conta.</x:v>
      </x:c>
      <x:c r="T28" s="13" t="str">
        <x:v>Confirmar empresa atual, nº de unidades, investimento em Ads e volume de novos leads no WhatsApp</x:v>
      </x:c>
      <x:c r="U28" s="13" t="str">
        <x:v>Usar como champion e pedir contexto/indicação do responsável</x:v>
      </x:c>
      <x:c r="V28" s="12" t="str">
        <x:v>Apify · Instagram Scraper</x:v>
      </x:c>
      <x:c r="W28" s="15" t="d">
        <x:v>2026-10-08T15:00:00.000Z</x:v>
      </x:c>
      <x:c r="X28" s="12" t="str">
        <x:v>Pendente</x:v>
      </x:c>
      <x:c r="Y28" s="12" t="str">
        <x:v>Não iniciado</x:v>
      </x:c>
      <x:c r="Z28" s="12" t="n">
        <x:v>2</x:v>
      </x:c>
      <x:c r="AA28" s="13" t="str">
        <x:v>Conta com 2 contatos: escolher 1 decisor e 1 champion antes da abordagem.</x:v>
      </x:c>
    </x:row>
    <x:row r="29" ht="44" customHeight="1">
      <x:c r="A29" s="16" t="n">
        <x:v>25</x:v>
      </x:c>
      <x:c r="B29" s="16" t="str">
        <x:v>B</x:v>
      </x:c>
      <x:c r="C29" s="16" t="n">
        <x:v>70</x:v>
      </x:c>
      <x:c r="D29" s="12" t="str">
        <x:v>Gelison Ramos | Consórcio Honda Brasil 🇧🇷</x:v>
      </x:c>
      <x:c r="E29" s="12" t="str">
        <x:v>@gelisonhonda</x:v>
      </x:c>
      <x:c r="F29" s="13" t="str">
        <x:v>💼Supervisor de Vendas @alagoasmotos @alagoasmotospenedo.consorcio 🛵 Ajudo você a sair do transporte público! 🏆 Satisfação do cliente em 1° lugar</x:v>
      </x:c>
      <x:c r="G29" s="12" t="str">
        <x:v>Supervisor de Vendas</x:v>
      </x:c>
      <x:c r="H29" s="12" t="str">
        <x:v>Alagoas Motos</x:v>
      </x:c>
      <x:c r="I29" s="12" t="str">
        <x:v>Influenciador operacional</x:v>
      </x:c>
      <x:c r="J29" s="17" t="n">
        <x:v>1338</x:v>
      </x:c>
      <x:c r="K29" s="12" t="str">
        <x:v>https://www.instagram.com/gelisonhonda</x:v>
      </x:c>
      <x:c r="L29" s="12" t="str">
        <x:v>Não localizado</x:v>
      </x:c>
      <x:c r="M29" s="12" t="str">
        <x:v>Não localizado</x:v>
      </x:c>
      <x:c r="N29" s="12" t="str">
        <x:v>https://wa.me/c/558294140022</x:v>
      </x:c>
      <x:c r="O29" s="13" t="str">
        <x:v>👏👏👏👏👏👏ficou muito bonito!</x:v>
      </x:c>
      <x:c r="P29" s="13" t="str">
        <x:v>https://www.instagram.com/p/DeAdQGkNGVG/</x:v>
      </x:c>
      <x:c r="Q29" s="13" t="str">
        <x:v>@alagoasmotos</x:v>
      </x:c>
      <x:c r="R29" s="13" t="str">
        <x:v>🚀 A Alagoas Motos está crescendo em Palmeira dos Índios! E para acompanhar esse crescimento, estamos chegando com mais um ponto na cidade, trazendo mais motos, mais oportunidades e ainda mais qualidade no atendimento. É a Gigante crescendo para estar cada vez</x:v>
      </x:c>
      <x:c r="S29" s="13" t="str">
        <x:v>Supervisor de Vendas no setor automotivo; bom contato para validar dor e chegar ao decisor da conta.</x:v>
      </x:c>
      <x:c r="T29" s="13" t="str">
        <x:v>Confirmar empresa atual, nº de unidades, investimento em Ads e volume de novos leads no WhatsApp</x:v>
      </x:c>
      <x:c r="U29" s="13" t="str">
        <x:v>Usar como champion e pedir contexto/indicação do responsável</x:v>
      </x:c>
      <x:c r="V29" s="12" t="str">
        <x:v>Apify · Instagram Scraper</x:v>
      </x:c>
      <x:c r="W29" s="15" t="d">
        <x:v>2026-10-08T15:00:00.000Z</x:v>
      </x:c>
      <x:c r="X29" s="12" t="str">
        <x:v>Pendente</x:v>
      </x:c>
      <x:c r="Y29" s="12" t="str">
        <x:v>Não iniciado</x:v>
      </x:c>
      <x:c r="Z29" s="12" t="n">
        <x:v>12</x:v>
      </x:c>
      <x:c r="AA29" s="13" t="str">
        <x:v>Conta com 12 contatos: escolher 1 decisor e 1 champion antes da abordagem.</x:v>
      </x:c>
    </x:row>
    <x:row r="30" ht="44" customHeight="1">
      <x:c r="A30" s="16" t="n">
        <x:v>26</x:v>
      </x:c>
      <x:c r="B30" s="16" t="str">
        <x:v>B</x:v>
      </x:c>
      <x:c r="C30" s="16" t="n">
        <x:v>69</x:v>
      </x:c>
      <x:c r="D30" s="12" t="str">
        <x:v>Adrielle Bezerra</x:v>
      </x:c>
      <x:c r="E30" s="12" t="str">
        <x:v>@adriellehondaa</x:v>
      </x:c>
      <x:c r="F30" s="13" t="str">
        <x:v>🏆 1º lugar em aprovação de financiamento de Alagoas Há 8 anos realizando sonhos 🏍️ ❤️🔒 📍@alagoasmotos Arapiraca/Al Simule ⬇️</x:v>
      </x:c>
      <x:c r="G30" s="12" t="str">
        <x:v>Vendedora de Financiamento</x:v>
      </x:c>
      <x:c r="H30" s="12" t="str">
        <x:v>Alagoas Motos</x:v>
      </x:c>
      <x:c r="I30" s="12" t="str">
        <x:v>Usuário / champion</x:v>
      </x:c>
      <x:c r="J30" s="17" t="n">
        <x:v>190038</x:v>
      </x:c>
      <x:c r="K30" s="12" t="str">
        <x:v>https://www.instagram.com/adriellehondaa</x:v>
      </x:c>
      <x:c r="L30" s="12" t="str">
        <x:v>Não localizado</x:v>
      </x:c>
      <x:c r="M30" s="12" t="str">
        <x:v>5582996416647</x:v>
      </x:c>
      <x:c r="N30" s="12" t="str">
        <x:v>http://wa.me/5582996416647</x:v>
      </x:c>
      <x:c r="O30" s="13" t="str">
        <x:v>Muito obrigada pelo reconhecimento e pela oportunidade. Sou grata por toda a confiança, pelos aprendizados e por fazer parte dessa equipe. Seguimos juntos, sempre buscando evoluir e dar o nosso melhor! 🙏</x:v>
      </x:c>
      <x:c r="P30" s="13" t="str">
        <x:v>https://www.instagram.com/p/DbHIQy_vIdZ/</x:v>
      </x:c>
      <x:c r="Q30" s="13" t="str">
        <x:v>@brunobettero</x:v>
      </x:c>
      <x:c r="R30" s="13" t="str">
        <x:v>Grandes resultados não acontecem por acaso. Conversei com @adriellehondaa , referência em financiamento e atualmente a vendedora nº 1 de Alagoas na modalidade. Mais de 40 minutos de conversa, muito aprendizado e vários insights sobre vendas. Mais do que falar </x:v>
      </x:c>
      <x:c r="S30" s="13" t="str">
        <x:v>Vendedora de Financiamento no setor automotivo; bom contato para validar dor e chegar ao decisor da conta.</x:v>
      </x:c>
      <x:c r="T30" s="13" t="str">
        <x:v>Confirmar empresa atual, nº de unidades, investimento em Ads e volume de novos leads no WhatsApp</x:v>
      </x:c>
      <x:c r="U30" s="13" t="str">
        <x:v>Usar como champion e pedir contexto/indicação do responsável</x:v>
      </x:c>
      <x:c r="V30" s="12" t="str">
        <x:v>Apify · Instagram Scraper</x:v>
      </x:c>
      <x:c r="W30" s="15" t="d">
        <x:v>2026-10-08T15:00:00.000Z</x:v>
      </x:c>
      <x:c r="X30" s="12" t="str">
        <x:v>Pendente</x:v>
      </x:c>
      <x:c r="Y30" s="12" t="str">
        <x:v>Não iniciado</x:v>
      </x:c>
      <x:c r="Z30" s="12" t="n">
        <x:v>12</x:v>
      </x:c>
      <x:c r="AA30" s="13" t="str">
        <x:v>Conta com 12 contatos: escolher 1 decisor e 1 champion antes da abordagem.</x:v>
      </x:c>
    </x:row>
    <x:row r="31" ht="44" customHeight="1">
      <x:c r="A31" s="16" t="n">
        <x:v>27</x:v>
      </x:c>
      <x:c r="B31" s="16" t="str">
        <x:v>B</x:v>
      </x:c>
      <x:c r="C31" s="16" t="n">
        <x:v>69</x:v>
      </x:c>
      <x:c r="D31" s="12" t="str">
        <x:v>Jô Vieira - 🚘Q Vendas🚘</x:v>
      </x:c>
      <x:c r="E31" s="12" t="str">
        <x:v>@jovieira_qvendas</x:v>
      </x:c>
      <x:c r="F31" s="13" t="str">
        <x:v>🚘Q Vendas “5 estrelas” ⭐️ 🚘Consultora de Vendas , desde 2008. Financiamento em Até 60 X 🚘++1995 Veículos Vendidos!🙌🏻 🚘Compra , Venda e Consignação‼️</x:v>
      </x:c>
      <x:c r="G31" s="12" t="str">
        <x:v>Consultora de Vendas</x:v>
      </x:c>
      <x:c r="H31" s="12" t="str">
        <x:v>Q Vendas</x:v>
      </x:c>
      <x:c r="I31" s="12" t="str">
        <x:v>Usuário / champion</x:v>
      </x:c>
      <x:c r="J31" s="17" t="n">
        <x:v>43967</x:v>
      </x:c>
      <x:c r="K31" s="12" t="str">
        <x:v>https://www.instagram.com/jovieira_qvendas</x:v>
      </x:c>
      <x:c r="L31" s="12" t="str">
        <x:v>Não localizado</x:v>
      </x:c>
      <x:c r="M31" s="12" t="str">
        <x:v>55964722870</x:v>
      </x:c>
      <x:c r="N31" s="12" t="str">
        <x:v>http://www.quevendas.com.br</x:v>
      </x:c>
      <x:c r="O31" s="13" t="str">
        <x:v>Parabéns! 👏🤍😘</x:v>
      </x:c>
      <x:c r="P31" s="13" t="str">
        <x:v>https://www.instagram.com/p/DdryWTpTOxA/</x:v>
      </x:c>
      <x:c r="Q31" s="13" t="str">
        <x:v>@bobbio_jackson</x:v>
      </x:c>
      <x:c r="R31" s="13" t="str">
        <x:v>Depois de mais de três décadas no mercado automotivo, decidi colocar no papel histórias e aprendizados que moldaram minha forma de enxergar o pós-venda. Assim nasceu Além da Venda — O poder do pós-venda na construção de relacionamentos duradouros. O livro aind</x:v>
      </x:c>
      <x:c r="S31" s="13" t="str">
        <x:v>Consultora de Vendas no setor automotivo; bom contato para validar dor e chegar ao decisor da conta.</x:v>
      </x:c>
      <x:c r="T31" s="13" t="str">
        <x:v>Confirmar empresa atual, nº de unidades, investimento em Ads e volume de novos leads no WhatsApp</x:v>
      </x:c>
      <x:c r="U31" s="13" t="str">
        <x:v>Usar como champion e pedir contexto/indicação do responsável</x:v>
      </x:c>
      <x:c r="V31" s="12" t="str">
        <x:v>Apify · Instagram Scraper</x:v>
      </x:c>
      <x:c r="W31" s="15" t="d">
        <x:v>2026-10-08T15:00:00.000Z</x:v>
      </x:c>
      <x:c r="X31" s="12" t="str">
        <x:v>Pendente</x:v>
      </x:c>
      <x:c r="Y31" s="12" t="str">
        <x:v>Não iniciado</x:v>
      </x:c>
      <x:c r="Z31" s="12" t="n">
        <x:v>1</x:v>
      </x:c>
      <x:c r="AA31" s="13" t="str">
        <x:v>Pesquisar a conta e validar o ICP antes da abordagem.</x:v>
      </x:c>
    </x:row>
    <x:row r="32" ht="44" customHeight="1">
      <x:c r="A32" s="16" t="n">
        <x:v>28</x:v>
      </x:c>
      <x:c r="B32" s="16" t="str">
        <x:v>B</x:v>
      </x:c>
      <x:c r="C32" s="16" t="n">
        <x:v>69</x:v>
      </x:c>
      <x:c r="D32" s="12" t="str">
        <x:v>Elaine Brumati</x:v>
      </x:c>
      <x:c r="E32" s="12" t="str">
        <x:v>@elainebrumati</x:v>
      </x:c>
      <x:c r="F32" s="13" t="str">
        <x:v>👩🏼‍💻Especialista em Contemplação Honda 🙌20 Anos Realizando Sonhos 🙌 📞📲 +55 65 99905-7068 📲 Veja meu site, confira as ofertas e simule 🔽 Link abaixo</x:v>
      </x:c>
      <x:c r="G32" s="12" t="str">
        <x:v>Especialista em Contemplação Honda</x:v>
      </x:c>
      <x:c r="H32" s="12" t="str">
        <x:v>Honda</x:v>
      </x:c>
      <x:c r="I32" s="12" t="str">
        <x:v>Usuário / champion</x:v>
      </x:c>
      <x:c r="J32" s="17" t="n">
        <x:v>3172</x:v>
      </x:c>
      <x:c r="K32" s="12" t="str">
        <x:v>https://www.instagram.com/elainebrumati</x:v>
      </x:c>
      <x:c r="L32" s="12" t="str">
        <x:v>Não localizado</x:v>
      </x:c>
      <x:c r="M32" s="12" t="str">
        <x:v>5565999057068</x:v>
      </x:c>
      <x:c r="N32" s="12" t="str">
        <x:v>http://wa.me/5565999057068</x:v>
      </x:c>
      <x:c r="O32" s="13" t="str">
        <x:v>Sou fã</x:v>
      </x:c>
      <x:c r="P32" s="13" t="str">
        <x:v>https://www.instagram.com/p/DbHIQy_vIdZ/</x:v>
      </x:c>
      <x:c r="Q32" s="13" t="str">
        <x:v>@brunobettero</x:v>
      </x:c>
      <x:c r="R32" s="13" t="str">
        <x:v>Grandes resultados não acontecem por acaso. Conversei com @adriellehondaa , referência em financiamento e atualmente a vendedora nº 1 de Alagoas na modalidade. Mais de 40 minutos de conversa, muito aprendizado e vários insights sobre vendas. Mais do que falar </x:v>
      </x:c>
      <x:c r="S32" s="13" t="str">
        <x:v>Especialista em Contemplação Honda no setor automotivo; bom contato para validar dor e chegar ao decisor da conta.</x:v>
      </x:c>
      <x:c r="T32" s="13" t="str">
        <x:v>Confirmar empresa atual, nº de unidades, investimento em Ads e volume de novos leads no WhatsApp</x:v>
      </x:c>
      <x:c r="U32" s="13" t="str">
        <x:v>Usar como champion e pedir contexto/indicação do responsável</x:v>
      </x:c>
      <x:c r="V32" s="12" t="str">
        <x:v>Apify · Instagram Scraper</x:v>
      </x:c>
      <x:c r="W32" s="15" t="d">
        <x:v>2026-10-08T15:00:00.000Z</x:v>
      </x:c>
      <x:c r="X32" s="12" t="str">
        <x:v>Pendente</x:v>
      </x:c>
      <x:c r="Y32" s="12" t="str">
        <x:v>Não iniciado</x:v>
      </x:c>
      <x:c r="Z32" s="12" t="n">
        <x:v>5</x:v>
      </x:c>
      <x:c r="AA32" s="13" t="str">
        <x:v>Conta com 5 contatos: escolher 1 decisor e 1 champion antes da abordagem.</x:v>
      </x:c>
    </x:row>
    <x:row r="33" ht="44" customHeight="1">
      <x:c r="A33" s="16" t="n">
        <x:v>29</x:v>
      </x:c>
      <x:c r="B33" s="16" t="str">
        <x:v>B</x:v>
      </x:c>
      <x:c r="C33" s="16" t="n">
        <x:v>69</x:v>
      </x:c>
      <x:c r="D33" s="12" t="str">
        <x:v>Weryka Samara/Consórcio Honda</x:v>
      </x:c>
      <x:c r="E33" s="12" t="str">
        <x:v>@werykasamara_honda</x:v>
      </x:c>
      <x:c r="F33" s="13" t="str">
        <x:v>👨🏻‍💻 Especialista Honda 📱Atendimento presencial e online 🏍️ CONSÓRCIO HONDA 📌Weryka Honda 🔺Telefone:(82)99609-1225 📲 Veja meu site ⬇️ Link abaixo:</x:v>
      </x:c>
      <x:c r="G33" s="12" t="str">
        <x:v>Especialista Honda</x:v>
      </x:c>
      <x:c r="H33" s="12" t="str">
        <x:v>Honda</x:v>
      </x:c>
      <x:c r="I33" s="12" t="str">
        <x:v>Usuário / champion</x:v>
      </x:c>
      <x:c r="J33" s="17" t="n">
        <x:v>2247</x:v>
      </x:c>
      <x:c r="K33" s="12" t="str">
        <x:v>https://www.instagram.com/werykasamara_honda</x:v>
      </x:c>
      <x:c r="L33" s="12" t="str">
        <x:v>Não localizado</x:v>
      </x:c>
      <x:c r="M33" s="12" t="str">
        <x:v>(82)99609-1225</x:v>
      </x:c>
      <x:c r="N33" s="12" t="str">
        <x:v>http://alagoasmotos.5asdavenda.com.br/sitevendedor/?vendedor=20</x:v>
      </x:c>
      <x:c r="O33" s="13" t="str">
        <x:v>@paulobarros.al 👏👏👏</x:v>
      </x:c>
      <x:c r="P33" s="13" t="str">
        <x:v>https://www.instagram.com/p/Dd1fBI_gjj3/</x:v>
      </x:c>
      <x:c r="Q33" s="13" t="str">
        <x:v>@brunobettero</x:v>
      </x:c>
      <x:c r="R33" s="13" t="str">
        <x:v>No vídeo de hoje, aproveitamos nossa ação de vendas em Feira Grande para bater um papo com o supervisor de Vendas Paulo Barros, falando um pouco sobre o trabalho desenvolvido na região e os desafios do dia a dia comercial. #AlagoasMotos #FeiraGrande #EquipeDeV</x:v>
      </x:c>
      <x:c r="S33" s="13" t="str">
        <x:v>Especialista Honda no setor automotivo; bom contato para validar dor e chegar ao decisor da conta.</x:v>
      </x:c>
      <x:c r="T33" s="13" t="str">
        <x:v>Confirmar empresa atual, nº de unidades, investimento em Ads e volume de novos leads no WhatsApp</x:v>
      </x:c>
      <x:c r="U33" s="13" t="str">
        <x:v>Usar como champion e pedir contexto/indicação do responsável</x:v>
      </x:c>
      <x:c r="V33" s="12" t="str">
        <x:v>Apify · Instagram Scraper</x:v>
      </x:c>
      <x:c r="W33" s="15" t="d">
        <x:v>2026-10-08T15:00:00.000Z</x:v>
      </x:c>
      <x:c r="X33" s="12" t="str">
        <x:v>Pendente</x:v>
      </x:c>
      <x:c r="Y33" s="12" t="str">
        <x:v>Não iniciado</x:v>
      </x:c>
      <x:c r="Z33" s="12" t="n">
        <x:v>5</x:v>
      </x:c>
      <x:c r="AA33" s="13" t="str">
        <x:v>Conta com 5 contatos: escolher 1 decisor e 1 champion antes da abordagem.</x:v>
      </x:c>
    </x:row>
    <x:row r="34" ht="44" customHeight="1">
      <x:c r="A34" s="16" t="n">
        <x:v>30</x:v>
      </x:c>
      <x:c r="B34" s="16" t="str">
        <x:v>B</x:v>
      </x:c>
      <x:c r="C34" s="16" t="n">
        <x:v>69</x:v>
      </x:c>
      <x:c r="D34" s="12" t="str">
        <x:v>Paulo Borba</x:v>
      </x:c>
      <x:c r="E34" s="12" t="str">
        <x:v>@borba.nissan</x:v>
      </x:c>
      <x:c r="F34" s="13" t="str">
        <x:v>🚗 Nissan • Geely • Seminovos 📍Lages | SC 💬 Compra, troca e financiamento ⭐ Conteúdo diário sobre carros 👇 Chame no WhatsApp</x:v>
      </x:c>
      <x:c r="G34" s="12" t="str">
        <x:v>Consultor / vendedor automotivo</x:v>
      </x:c>
      <x:c r="H34" s="12" t="str">
        <x:v>Nissan / Geely em Lages</x:v>
      </x:c>
      <x:c r="I34" s="12" t="str">
        <x:v>Usuário / champion</x:v>
      </x:c>
      <x:c r="J34" s="17" t="n">
        <x:v>1128</x:v>
      </x:c>
      <x:c r="K34" s="12" t="str">
        <x:v>https://www.instagram.com/borba.nissan</x:v>
      </x:c>
      <x:c r="L34" s="12" t="str">
        <x:v>Não localizado</x:v>
      </x:c>
      <x:c r="M34" s="12" t="str">
        <x:v>5548991914093</x:v>
      </x:c>
      <x:c r="N34" s="12" t="str">
        <x:v>https://wa.me/5548991914093?countryName=BR&amp;countryCode=55&amp;phoneNumber=48991914093</x:v>
      </x:c>
      <x:c r="O34" s="13" t="str">
        <x:v>Prompts</x:v>
      </x:c>
      <x:c r="P34" s="13" t="str">
        <x:v>https://www.instagram.com/p/DdQ3w0Gkee_/</x:v>
      </x:c>
      <x:c r="Q34" s="13" t="str">
        <x:v>@alessandra_falqueiro</x:v>
      </x:c>
      <x:c r="R34" s="13" t="str">
        <x:v>Siga @alessandra_falqueiro Quer receber esses 7 prompts? Digite PROMPTS nos comentários que eu te envio no direct.</x:v>
      </x:c>
      <x:c r="S34" s="13" t="str">
        <x:v>Consultor / vendedor automotivo no setor automotivo; bom contato para validar dor e chegar ao decisor da conta.</x:v>
      </x:c>
      <x:c r="T34" s="13" t="str">
        <x:v>Confirmar empresa atual, nº de unidades, investimento em Ads e volume de novos leads no WhatsApp</x:v>
      </x:c>
      <x:c r="U34" s="13" t="str">
        <x:v>Usar como champion e pedir contexto/indicação do responsável</x:v>
      </x:c>
      <x:c r="V34" s="12" t="str">
        <x:v>Apify · Instagram Scraper</x:v>
      </x:c>
      <x:c r="W34" s="15" t="d">
        <x:v>2026-10-08T15:00:00.000Z</x:v>
      </x:c>
      <x:c r="X34" s="12" t="str">
        <x:v>Pendente</x:v>
      </x:c>
      <x:c r="Y34" s="12" t="str">
        <x:v>Não iniciado</x:v>
      </x:c>
      <x:c r="Z34" s="12" t="n">
        <x:v>1</x:v>
      </x:c>
      <x:c r="AA34" s="13" t="str">
        <x:v>Pesquisar a conta e validar o ICP antes da abordagem.</x:v>
      </x:c>
    </x:row>
    <x:row r="35" ht="44" customHeight="1">
      <x:c r="A35" s="16" t="n">
        <x:v>31</x:v>
      </x:c>
      <x:c r="B35" s="16" t="str">
        <x:v>B</x:v>
      </x:c>
      <x:c r="C35" s="16" t="n">
        <x:v>69</x:v>
      </x:c>
      <x:c r="D35" s="12" t="str">
        <x:v>Wendell Brandão | Consultor Honda 🏍️</x:v>
      </x:c>
      <x:c r="E35" s="12" t="str">
        <x:v>@wendellhondaa</x:v>
      </x:c>
      <x:c r="F35" s="13" t="str">
        <x:v>Campeão em entrega de motos 🏆 + 200 motos entregues! 🏍️ 🙏🏻 |Josué 1:9 📲 | Fale comigo agora⭣</x:v>
      </x:c>
      <x:c r="G35" s="12" t="str">
        <x:v>Consultor Honda</x:v>
      </x:c>
      <x:c r="H35" s="12" t="str">
        <x:v>Honda</x:v>
      </x:c>
      <x:c r="I35" s="12" t="str">
        <x:v>Usuário / champion</x:v>
      </x:c>
      <x:c r="J35" s="17" t="n">
        <x:v>610</x:v>
      </x:c>
      <x:c r="K35" s="12" t="str">
        <x:v>https://www.instagram.com/wendellhondaa</x:v>
      </x:c>
      <x:c r="L35" s="12" t="str">
        <x:v>Não localizado</x:v>
      </x:c>
      <x:c r="M35" s="12" t="str">
        <x:v>8299581244</x:v>
      </x:c>
      <x:c r="N35" s="12" t="str">
        <x:v>http://wa.me/8299581244</x:v>
      </x:c>
      <x:c r="O35" s="13" t="str">
        <x:v>👏👏👏👏</x:v>
      </x:c>
      <x:c r="P35" s="13" t="str">
        <x:v>https://www.instagram.com/p/DbHIQy_vIdZ/</x:v>
      </x:c>
      <x:c r="Q35" s="13" t="str">
        <x:v>@brunobettero</x:v>
      </x:c>
      <x:c r="R35" s="13" t="str">
        <x:v>Grandes resultados não acontecem por acaso. Conversei com @adriellehondaa , referência em financiamento e atualmente a vendedora nº 1 de Alagoas na modalidade. Mais de 40 minutos de conversa, muito aprendizado e vários insights sobre vendas. Mais do que falar </x:v>
      </x:c>
      <x:c r="S35" s="13" t="str">
        <x:v>Consultor Honda no setor automotivo; bom contato para validar dor e chegar ao decisor da conta.</x:v>
      </x:c>
      <x:c r="T35" s="13" t="str">
        <x:v>Confirmar empresa atual, nº de unidades, investimento em Ads e volume de novos leads no WhatsApp</x:v>
      </x:c>
      <x:c r="U35" s="13" t="str">
        <x:v>Usar como champion e pedir contexto/indicação do responsável</x:v>
      </x:c>
      <x:c r="V35" s="12" t="str">
        <x:v>Apify · Instagram Scraper</x:v>
      </x:c>
      <x:c r="W35" s="15" t="d">
        <x:v>2026-10-08T15:00:00.000Z</x:v>
      </x:c>
      <x:c r="X35" s="12" t="str">
        <x:v>Pendente</x:v>
      </x:c>
      <x:c r="Y35" s="12" t="str">
        <x:v>Não iniciado</x:v>
      </x:c>
      <x:c r="Z35" s="12" t="n">
        <x:v>5</x:v>
      </x:c>
      <x:c r="AA35" s="13" t="str">
        <x:v>Conta com 5 contatos: escolher 1 decisor e 1 champion antes da abordagem.</x:v>
      </x:c>
    </x:row>
    <x:row r="36" ht="44" customHeight="1">
      <x:c r="A36" s="16" t="n">
        <x:v>32</x:v>
      </x:c>
      <x:c r="B36" s="16" t="str">
        <x:v>B</x:v>
      </x:c>
      <x:c r="C36" s="16" t="n">
        <x:v>69</x:v>
      </x:c>
      <x:c r="D36" s="12" t="str">
        <x:v>Bruno Fernando</x:v>
      </x:c>
      <x:c r="E36" s="12" t="str">
        <x:v>@bruno.fernando.fiatslz</x:v>
      </x:c>
      <x:c r="F36" s="13" t="str">
        <x:v>Novos e Seminovos 📍 São Luís - MA Executivo de Vendas | @fiatoriginalsaoluis Aprovação facilitada | Melhor avaliação no seu usado 👇 Simule agora</x:v>
      </x:c>
      <x:c r="G36" s="12" t="str">
        <x:v>Executivo de Vendas</x:v>
      </x:c>
      <x:c r="H36" s="12" t="str">
        <x:v>Fiat Original São Luís</x:v>
      </x:c>
      <x:c r="I36" s="12" t="str">
        <x:v>Usuário / champion</x:v>
      </x:c>
      <x:c r="J36" s="17" t="n">
        <x:v>598</x:v>
      </x:c>
      <x:c r="K36" s="12" t="str">
        <x:v>https://www.instagram.com/bruno.fernando.fiatslz</x:v>
      </x:c>
      <x:c r="L36" s="12" t="str">
        <x:v>Não localizado</x:v>
      </x:c>
      <x:c r="M36" s="12" t="str">
        <x:v>5598981205421</x:v>
      </x:c>
      <x:c r="N36" s="12" t="str">
        <x:v>https://wa.me/5598981205421</x:v>
      </x:c>
      <x:c r="O36" s="13" t="str">
        <x:v>👏👏👏👏</x:v>
      </x:c>
      <x:c r="P36" s="13" t="str">
        <x:v>https://www.instagram.com/p/Dd6TSoDDM_1/</x:v>
      </x:c>
      <x:c r="Q36" s="13" t="str">
        <x:v>@thedealerspodcast</x:v>
      </x:c>
      <x:c r="R36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36" s="13" t="str">
        <x:v>Executivo de Vendas no setor automotivo; bom contato para validar dor e chegar ao decisor da conta.</x:v>
      </x:c>
      <x:c r="T36" s="13" t="str">
        <x:v>Confirmar empresa atual, nº de unidades, investimento em Ads e volume de novos leads no WhatsApp</x:v>
      </x:c>
      <x:c r="U36" s="13" t="str">
        <x:v>Usar como champion e pedir contexto/indicação do responsável</x:v>
      </x:c>
      <x:c r="V36" s="12" t="str">
        <x:v>Apify · Instagram Scraper</x:v>
      </x:c>
      <x:c r="W36" s="15" t="d">
        <x:v>2026-10-08T15:00:00.000Z</x:v>
      </x:c>
      <x:c r="X36" s="12" t="str">
        <x:v>Pendente</x:v>
      </x:c>
      <x:c r="Y36" s="12" t="str">
        <x:v>Não iniciado</x:v>
      </x:c>
      <x:c r="Z36" s="12" t="n">
        <x:v>1</x:v>
      </x:c>
      <x:c r="AA36" s="13" t="str">
        <x:v>Pesquisar a conta e validar o ICP antes da abordagem.</x:v>
      </x:c>
    </x:row>
    <x:row r="37" ht="44" customHeight="1">
      <x:c r="A37" s="16" t="n">
        <x:v>33</x:v>
      </x:c>
      <x:c r="B37" s="16" t="str">
        <x:v>B</x:v>
      </x:c>
      <x:c r="C37" s="16" t="n">
        <x:v>68</x:v>
      </x:c>
      <x:c r="D37" s="12" t="str">
        <x:v>Eduardo Pitta Pontual</x:v>
      </x:c>
      <x:c r="E37" s="12" t="str">
        <x:v>@eduardopittapontual</x:v>
      </x:c>
      <x:c r="F37" s="13" t="str">
        <x:v>Casado com Carmem Pontual, estudou no Colégio Nóbrega . Formado em Engenharia pela Politécnica, trabalha na concessionaria Italiana Automóveis.</x:v>
      </x:c>
      <x:c r="G37" s="12" t="str">
        <x:v>Profissional de concessionária</x:v>
      </x:c>
      <x:c r="H37" s="12" t="str">
        <x:v>Italiana Automóveis</x:v>
      </x:c>
      <x:c r="I37" s="12" t="str">
        <x:v>Usuário / champion</x:v>
      </x:c>
      <x:c r="J37" s="17" t="n">
        <x:v>788</x:v>
      </x:c>
      <x:c r="K37" s="12" t="str">
        <x:v>https://www.instagram.com/eduardopittapontual</x:v>
      </x:c>
      <x:c r="L37" s="12" t="str">
        <x:v>Não localizado</x:v>
      </x:c>
      <x:c r="M37" s="12" t="str">
        <x:v>Não localizado</x:v>
      </x:c>
      <x:c r="N37" s="12" t="str">
        <x:v>Não localizado</x:v>
      </x:c>
      <x:c r="O37" s="13" t="str">
        <x:v>Parabéns a toda equipe.</x:v>
      </x:c>
      <x:c r="P37" s="13" t="str">
        <x:v>https://www.instagram.com/p/Dcjha2elp-S/</x:v>
      </x:c>
      <x:c r="Q37" s="13" t="str">
        <x:v>@autoavaliar</x:v>
      </x:c>
      <x:c r="R37" s="13" t="str">
        <x:v>#tbt 30 mil transações realizadas em um único mês. Um marco que merece ser celebrado. 🚀 No dia 18/8, após o segundo dia da Fenabrave, reunimos cerca de 200 convidados no Palácio Tangará para comemorar esse resultado ao lado de quem faz o mercado automotivo ac</x:v>
      </x:c>
      <x:c r="S37" s="13" t="str">
        <x:v>Profissional de concessionária no setor automotivo; bom contato para validar dor e chegar ao decisor da conta.</x:v>
      </x:c>
      <x:c r="T37" s="13" t="str">
        <x:v>Confirmar empresa atual, nº de unidades, investimento em Ads e volume de novos leads no WhatsApp</x:v>
      </x:c>
      <x:c r="U37" s="13" t="str">
        <x:v>Usar como champion e pedir contexto/indicação do responsável</x:v>
      </x:c>
      <x:c r="V37" s="12" t="str">
        <x:v>Apify · Instagram Scraper</x:v>
      </x:c>
      <x:c r="W37" s="15" t="d">
        <x:v>2026-10-08T15:00:00.000Z</x:v>
      </x:c>
      <x:c r="X37" s="12" t="str">
        <x:v>Pendente</x:v>
      </x:c>
      <x:c r="Y37" s="12" t="str">
        <x:v>Não iniciado</x:v>
      </x:c>
      <x:c r="Z37" s="12" t="n">
        <x:v>1</x:v>
      </x:c>
      <x:c r="AA37" s="13" t="str">
        <x:v>Pesquisar a conta e validar o ICP antes da abordagem.</x:v>
      </x:c>
    </x:row>
    <x:row r="38" ht="44" customHeight="1">
      <x:c r="A38" s="16" t="n">
        <x:v>34</x:v>
      </x:c>
      <x:c r="B38" s="16" t="str">
        <x:v>B</x:v>
      </x:c>
      <x:c r="C38" s="16" t="n">
        <x:v>67</x:v>
      </x:c>
      <x:c r="D38" s="12" t="str">
        <x:v>Alexandre Hoffmann</x:v>
      </x:c>
      <x:c r="E38" s="12" t="str">
        <x:v>@ahoffmannveiculos</x:v>
      </x:c>
      <x:c r="F38" s="13" t="str">
        <x:v>(61) 99936-9991 Brasília DF📍</x:v>
      </x:c>
      <x:c r="G38" s="12" t="str">
        <x:v>Profissional automotivo</x:v>
      </x:c>
      <x:c r="H38" s="12" t="str">
        <x:v>Hoffmann Veículos</x:v>
      </x:c>
      <x:c r="I38" s="12" t="str">
        <x:v>Usuário / champion</x:v>
      </x:c>
      <x:c r="J38" s="17" t="n">
        <x:v>35543</x:v>
      </x:c>
      <x:c r="K38" s="12" t="str">
        <x:v>https://www.instagram.com/ahoffmannveiculos</x:v>
      </x:c>
      <x:c r="L38" s="12" t="str">
        <x:v>Não localizado</x:v>
      </x:c>
      <x:c r="M38" s="12" t="str">
        <x:v>(61) 99936-9991</x:v>
      </x:c>
      <x:c r="N38" s="12" t="str">
        <x:v>Não localizado</x:v>
      </x:c>
      <x:c r="O38" s="13" t="str">
        <x:v>Melhor líder do nosso seguimento!! Orgulho de ter feito parte do seu time meu diretor! @alessandro.soldi1</x:v>
      </x:c>
      <x:c r="P38" s="13" t="str">
        <x:v>https://www.instagram.com/p/DeHPnDYj7CL/</x:v>
      </x:c>
      <x:c r="Q38" s="13" t="str">
        <x:v>@thedealerspodcast</x:v>
      </x:c>
      <x:c r="R38" s="13" t="str">
        <x:v>"Qual o maior legado da sua vida profissional?" A resposta do Alessandro Soldi, no THE DEALERS, não tem a ver com número de lojas nem faturamento: é ver quem começou como estagiário virar gerente, diretor, executivo. Pra ele, formar gente é o que fica de verda</x:v>
      </x:c>
      <x:c r="S38" s="13" t="str">
        <x:v>Profissional automotivo no setor automotivo; bom contato para validar dor e chegar ao decisor da conta.</x:v>
      </x:c>
      <x:c r="T38" s="13" t="str">
        <x:v>Confirmar empresa atual, nº de unidades, investimento em Ads e volume de novos leads no WhatsApp</x:v>
      </x:c>
      <x:c r="U38" s="13" t="str">
        <x:v>Usar como champion e pedir contexto/indicação do responsável</x:v>
      </x:c>
      <x:c r="V38" s="12" t="str">
        <x:v>Apify · Instagram Scraper</x:v>
      </x:c>
      <x:c r="W38" s="15" t="d">
        <x:v>2026-10-08T15:00:00.000Z</x:v>
      </x:c>
      <x:c r="X38" s="12" t="str">
        <x:v>Pendente</x:v>
      </x:c>
      <x:c r="Y38" s="12" t="str">
        <x:v>Não iniciado</x:v>
      </x:c>
      <x:c r="Z38" s="12" t="n">
        <x:v>1</x:v>
      </x:c>
      <x:c r="AA38" s="13" t="str">
        <x:v>Pesquisar a conta e validar o ICP antes da abordagem.</x:v>
      </x:c>
    </x:row>
    <x:row r="39" ht="44" customHeight="1">
      <x:c r="A39" s="16" t="n">
        <x:v>35</x:v>
      </x:c>
      <x:c r="B39" s="16" t="str">
        <x:v>B</x:v>
      </x:c>
      <x:c r="C39" s="16" t="n">
        <x:v>66</x:v>
      </x:c>
      <x:c r="D39" s="12" t="str">
        <x:v>Luiz Henrique Tubarão</x:v>
      </x:c>
      <x:c r="E39" s="12" t="str">
        <x:v>@luizhenriquetubarao</x:v>
      </x:c>
      <x:c r="F39" s="13" t="str">
        <x:v>Sales Manager - Grupo Euroaméricas Especialista em Lojistas e Revendedores Siga para ofertas diárias Casado com @biancapatricioo Servo do Deus vivo</x:v>
      </x:c>
      <x:c r="G39" s="12" t="str">
        <x:v>Sales Manager</x:v>
      </x:c>
      <x:c r="H39" s="12" t="str">
        <x:v>Grupo Euroaméricas</x:v>
      </x:c>
      <x:c r="I39" s="12" t="str">
        <x:v>Usuário / champion</x:v>
      </x:c>
      <x:c r="J39" s="17" t="n">
        <x:v>25844</x:v>
      </x:c>
      <x:c r="K39" s="12" t="str">
        <x:v>https://www.instagram.com/luizhenriquetubarao</x:v>
      </x:c>
      <x:c r="L39" s="12" t="str">
        <x:v>Não localizado</x:v>
      </x:c>
      <x:c r="M39" s="12" t="str">
        <x:v>Não localizado</x:v>
      </x:c>
      <x:c r="N39" s="12" t="str">
        <x:v>https://whatsapp.com/channel/0029VbATRruFcowALoEBmt2Z</x:v>
      </x:c>
      <x:c r="O39" s="13" t="str">
        <x:v>Vamos pra cima !!! 🦈🦈🦈👊🏻👊🏻👊🏻</x:v>
      </x:c>
      <x:c r="P39" s="13" t="str">
        <x:v>https://www.instagram.com/p/Dcljry2KmSJ/</x:v>
      </x:c>
      <x:c r="Q39" s="13" t="str">
        <x:v>@autoavaliar</x:v>
      </x:c>
      <x:c r="R39" s="13" t="str">
        <x:v>Nós somos o mercado! Esse recorde é uma prova da força do mercado de seminovos. Todos os dias trabalhamos para melhorar e profissionalizar nosso setor. Para que cada vendedor, cada loja, cada lojista, cada concessionário, possam trabalhar e crescer. Essa conqu</x:v>
      </x:c>
      <x:c r="S39" s="13" t="str">
        <x:v>Sales Manager no setor automotivo; bom contato para validar dor e chegar ao decisor da conta.</x:v>
      </x:c>
      <x:c r="T39" s="13" t="str">
        <x:v>Confirmar empresa atual, nº de unidades, investimento em Ads e volume de novos leads no WhatsApp</x:v>
      </x:c>
      <x:c r="U39" s="13" t="str">
        <x:v>Usar como champion e pedir contexto/indicação do responsável</x:v>
      </x:c>
      <x:c r="V39" s="12" t="str">
        <x:v>Apify · Instagram Scraper</x:v>
      </x:c>
      <x:c r="W39" s="15" t="d">
        <x:v>2026-10-08T15:00:00.000Z</x:v>
      </x:c>
      <x:c r="X39" s="12" t="str">
        <x:v>Pendente</x:v>
      </x:c>
      <x:c r="Y39" s="12" t="str">
        <x:v>Não iniciado</x:v>
      </x:c>
      <x:c r="Z39" s="12" t="n">
        <x:v>1</x:v>
      </x:c>
      <x:c r="AA39" s="13" t="str">
        <x:v>Pesquisar a conta e validar o ICP antes da abordagem.</x:v>
      </x:c>
    </x:row>
    <x:row r="40" ht="44" customHeight="1">
      <x:c r="A40" s="16" t="n">
        <x:v>36</x:v>
      </x:c>
      <x:c r="B40" s="16" t="str">
        <x:v>B</x:v>
      </x:c>
      <x:c r="C40" s="16" t="n">
        <x:v>66</x:v>
      </x:c>
      <x:c r="D40" s="12" t="str">
        <x:v>ALEXANDRE | CONSÓRCIO HONDA</x:v>
      </x:c>
      <x:c r="E40" s="12" t="str">
        <x:v>@alexandrechonda</x:v>
      </x:c>
      <x:c r="F40" s="13" t="str">
        <x:v>🧑🏻‍💻 Especialista no Consórcio Nacional Honda 🏍️ 🥇 Desde 2021 Transformando Vidas. 🔑 Você sonha, eu realizo! 📲 Fale comigo no link abaixo ⤵️</x:v>
      </x:c>
      <x:c r="G40" s="12" t="str">
        <x:v>Especialista em Consórcio Honda</x:v>
      </x:c>
      <x:c r="H40" s="12" t="str">
        <x:v>Consórcio Honda</x:v>
      </x:c>
      <x:c r="I40" s="12" t="str">
        <x:v>Usuário / champion</x:v>
      </x:c>
      <x:c r="J40" s="17" t="n">
        <x:v>17025</x:v>
      </x:c>
      <x:c r="K40" s="12" t="str">
        <x:v>https://www.instagram.com/alexandrechonda</x:v>
      </x:c>
      <x:c r="L40" s="12" t="str">
        <x:v>Não localizado</x:v>
      </x:c>
      <x:c r="M40" s="12" t="str">
        <x:v>Não localizado</x:v>
      </x:c>
      <x:c r="N40" s="12" t="str">
        <x:v>https://wa.link/gisyni</x:v>
      </x:c>
      <x:c r="O40" s="13" t="str">
        <x:v>👏👏👏👏</x:v>
      </x:c>
      <x:c r="P40" s="13" t="str">
        <x:v>https://www.instagram.com/p/DeAdQGkNGVG/</x:v>
      </x:c>
      <x:c r="Q40" s="13" t="str">
        <x:v>@alagoasmotos</x:v>
      </x:c>
      <x:c r="R40" s="13" t="str">
        <x:v>🚀 A Alagoas Motos está crescendo em Palmeira dos Índios! E para acompanhar esse crescimento, estamos chegando com mais um ponto na cidade, trazendo mais motos, mais oportunidades e ainda mais qualidade no atendimento. É a Gigante crescendo para estar cada vez</x:v>
      </x:c>
      <x:c r="S40" s="13" t="str">
        <x:v>Especialista em Consórcio Honda no setor automotivo; bom contato para validar dor e chegar ao decisor da conta.</x:v>
      </x:c>
      <x:c r="T40" s="13" t="str">
        <x:v>Confirmar empresa atual, nº de unidades, investimento em Ads e volume de novos leads no WhatsApp</x:v>
      </x:c>
      <x:c r="U40" s="13" t="str">
        <x:v>Usar como champion e pedir contexto/indicação do responsável</x:v>
      </x:c>
      <x:c r="V40" s="12" t="str">
        <x:v>Apify · Instagram Scraper</x:v>
      </x:c>
      <x:c r="W40" s="15" t="d">
        <x:v>2026-10-08T15:00:00.000Z</x:v>
      </x:c>
      <x:c r="X40" s="12" t="str">
        <x:v>Pendente</x:v>
      </x:c>
      <x:c r="Y40" s="12" t="str">
        <x:v>Não iniciado</x:v>
      </x:c>
      <x:c r="Z40" s="12" t="n">
        <x:v>3</x:v>
      </x:c>
      <x:c r="AA40" s="13" t="str">
        <x:v>Conta com 3 contatos: escolher 1 decisor e 1 champion antes da abordagem.</x:v>
      </x:c>
    </x:row>
    <x:row r="41" ht="44" customHeight="1">
      <x:c r="A41" s="16" t="n">
        <x:v>37</x:v>
      </x:c>
      <x:c r="B41" s="16" t="str">
        <x:v>B</x:v>
      </x:c>
      <x:c r="C41" s="16" t="n">
        <x:v>66</x:v>
      </x:c>
      <x:c r="D41" s="12" t="str">
        <x:v>Italo Antonio | Consórcio Honda | Moto 0KM 🏍️</x:v>
      </x:c>
      <x:c r="E41" s="12" t="str">
        <x:v>@italodahonda082</x:v>
      </x:c>
      <x:c r="F41" s="13" t="str">
        <x:v>💎 Especialista em Consórcio Honda 🏍️Ajudo você a conquistar sua Honda 0km 🏆 +6 anos | milhares de clientes atendidos 👇Faça sua simulação pelo WhatsApp</x:v>
      </x:c>
      <x:c r="G41" s="12" t="str">
        <x:v>Especialista em Consórcio Honda</x:v>
      </x:c>
      <x:c r="H41" s="12" t="str">
        <x:v>Honda</x:v>
      </x:c>
      <x:c r="I41" s="12" t="str">
        <x:v>Usuário / champion</x:v>
      </x:c>
      <x:c r="J41" s="17" t="n">
        <x:v>15361</x:v>
      </x:c>
      <x:c r="K41" s="12" t="str">
        <x:v>https://www.instagram.com/italodahonda082</x:v>
      </x:c>
      <x:c r="L41" s="12" t="str">
        <x:v>Não localizado</x:v>
      </x:c>
      <x:c r="M41" s="12" t="str">
        <x:v>Não localizado</x:v>
      </x:c>
      <x:c r="N41" s="12" t="str">
        <x:v>https://vendedor.site/italodahonda</x:v>
      </x:c>
      <x:c r="O41" s="13" t="str">
        <x:v>👏👏👏</x:v>
      </x:c>
      <x:c r="P41" s="13" t="str">
        <x:v>https://www.instagram.com/p/DdCgIByvjcl/</x:v>
      </x:c>
      <x:c r="Q41" s="13" t="str">
        <x:v>@guilherme.honda1</x:v>
      </x:c>
      <x:c r="R41" s="13" t="str">
        <x:v>Papo sobre vendas , Ep 1. 🎥 Vender uma moto não é simplesmente entregar um veículo. É participar da realização de um sonho e ajudar as pessoas a conquistar mais mobilidade e melhorar a sua qualidade de vida! Na Liderança na Ponta, compartilho minha experiênci</x:v>
      </x:c>
      <x:c r="S41" s="13" t="str">
        <x:v>Especialista em Consórcio Honda no setor automotivo; bom contato para validar dor e chegar ao decisor da conta.</x:v>
      </x:c>
      <x:c r="T41" s="13" t="str">
        <x:v>Confirmar empresa atual, nº de unidades, investimento em Ads e volume de novos leads no WhatsApp</x:v>
      </x:c>
      <x:c r="U41" s="13" t="str">
        <x:v>Usar como champion e pedir contexto/indicação do responsável</x:v>
      </x:c>
      <x:c r="V41" s="12" t="str">
        <x:v>Apify · Instagram Scraper</x:v>
      </x:c>
      <x:c r="W41" s="15" t="d">
        <x:v>2026-10-08T15:00:00.000Z</x:v>
      </x:c>
      <x:c r="X41" s="12" t="str">
        <x:v>Pendente</x:v>
      </x:c>
      <x:c r="Y41" s="12" t="str">
        <x:v>Não iniciado</x:v>
      </x:c>
      <x:c r="Z41" s="12" t="n">
        <x:v>5</x:v>
      </x:c>
      <x:c r="AA41" s="13" t="str">
        <x:v>Conta com 5 contatos: escolher 1 decisor e 1 champion antes da abordagem.</x:v>
      </x:c>
    </x:row>
    <x:row r="42" ht="44" customHeight="1">
      <x:c r="A42" s="16" t="n">
        <x:v>38</x:v>
      </x:c>
      <x:c r="B42" s="16" t="str">
        <x:v>B</x:v>
      </x:c>
      <x:c r="C42" s="16" t="n">
        <x:v>66</x:v>
      </x:c>
      <x:c r="D42" s="12" t="str">
        <x:v>Guilherme Caetano</x:v>
      </x:c>
      <x:c r="E42" s="12" t="str">
        <x:v>@guilherme.honda1</x:v>
      </x:c>
      <x:c r="F42" s="13" t="str">
        <x:v>👨🏻‍💻 Especialista @consorciohonda 📱Veja meu site, confira as ofertas e simule. 🚚 🔽 Link abaixo</x:v>
      </x:c>
      <x:c r="G42" s="12" t="str">
        <x:v>Especialista em Consórcio Honda</x:v>
      </x:c>
      <x:c r="H42" s="12" t="str">
        <x:v>Consórcio Honda</x:v>
      </x:c>
      <x:c r="I42" s="12" t="str">
        <x:v>Usuário / champion</x:v>
      </x:c>
      <x:c r="J42" s="17" t="n">
        <x:v>8239</x:v>
      </x:c>
      <x:c r="K42" s="12" t="str">
        <x:v>https://www.instagram.com/guilherme.honda1</x:v>
      </x:c>
      <x:c r="L42" s="12" t="str">
        <x:v>Não localizado</x:v>
      </x:c>
      <x:c r="M42" s="12" t="str">
        <x:v>Não localizado</x:v>
      </x:c>
      <x:c r="N42" s="12" t="str">
        <x:v>https://vendedor.site/GUILHERME.HONDA</x:v>
      </x:c>
      <x:c r="O42" s="13" t="str">
        <x:v>Obrigado pela oportunidade que me deu em falar um pouco do meu trabalho, do meu dia a dia de como o resultado é construído. Seguimos juntos para que cada dia a mais possamos continuar construindo resultados cada vez maiores. 🙏🏻 @brunobettero</x:v>
      </x:c>
      <x:c r="P42" s="13" t="str">
        <x:v>https://www.instagram.com/p/Da04BMtvm43/</x:v>
      </x:c>
      <x:c r="Q42" s="13" t="str">
        <x:v>@brunobettero</x:v>
      </x:c>
      <x:c r="R42" s="13" t="str">
        <x:v>No Liderança na Ponta, seguimos fortalecendo uma das práticas mais importantes da gestão: ouvir quem está no campo, entender a realidade da operação e aprender com quem gera resultados todos os dias. Mais do que acompanhar indicadores, buscamos compreender pro</x:v>
      </x:c>
      <x:c r="S42" s="13" t="str">
        <x:v>Especialista em Consórcio Honda no setor automotivo; bom contato para validar dor e chegar ao decisor da conta.</x:v>
      </x:c>
      <x:c r="T42" s="13" t="str">
        <x:v>Confirmar empresa atual, nº de unidades, investimento em Ads e volume de novos leads no WhatsApp</x:v>
      </x:c>
      <x:c r="U42" s="13" t="str">
        <x:v>Usar como champion e pedir contexto/indicação do responsável</x:v>
      </x:c>
      <x:c r="V42" s="12" t="str">
        <x:v>Apify · Instagram Scraper</x:v>
      </x:c>
      <x:c r="W42" s="15" t="d">
        <x:v>2026-10-08T15:00:00.000Z</x:v>
      </x:c>
      <x:c r="X42" s="12" t="str">
        <x:v>Pendente</x:v>
      </x:c>
      <x:c r="Y42" s="12" t="str">
        <x:v>Não iniciado</x:v>
      </x:c>
      <x:c r="Z42" s="12" t="n">
        <x:v>3</x:v>
      </x:c>
      <x:c r="AA42" s="13" t="str">
        <x:v>Conta com 3 contatos: escolher 1 decisor e 1 champion antes da abordagem.</x:v>
      </x:c>
    </x:row>
    <x:row r="43" ht="44" customHeight="1">
      <x:c r="A43" s="16" t="n">
        <x:v>39</x:v>
      </x:c>
      <x:c r="B43" s="16" t="str">
        <x:v>B</x:v>
      </x:c>
      <x:c r="C43" s="16" t="n">
        <x:v>66</x:v>
      </x:c>
      <x:c r="D43" s="12" t="str">
        <x:v>Karoll cavalcante | Honda</x:v>
      </x:c>
      <x:c r="E43" s="12" t="str">
        <x:v>@karollhonda</x:v>
      </x:c>
      <x:c r="F43" s="13" t="str">
        <x:v>📍Arapiraca AL 👩🏻‍💻 Vendedora web 🏅Entre os melhores do Nordeste @alagoasmotos Mais do que motos, vendo liberdade Acesse meu showroom digital👇</x:v>
      </x:c>
      <x:c r="G43" s="12" t="str">
        <x:v>Vendedora Web</x:v>
      </x:c>
      <x:c r="H43" s="12" t="str">
        <x:v>Alagoas Motos</x:v>
      </x:c>
      <x:c r="I43" s="12" t="str">
        <x:v>Usuário / champion</x:v>
      </x:c>
      <x:c r="J43" s="17" t="n">
        <x:v>2096</x:v>
      </x:c>
      <x:c r="K43" s="12" t="str">
        <x:v>https://www.instagram.com/karollhonda</x:v>
      </x:c>
      <x:c r="L43" s="12" t="str">
        <x:v>Não localizado</x:v>
      </x:c>
      <x:c r="M43" s="12" t="str">
        <x:v>Não localizado</x:v>
      </x:c>
      <x:c r="N43" s="12" t="str">
        <x:v>https://wa.me/message/GZ2XMW4CS22NE1</x:v>
      </x:c>
      <x:c r="O43" s="13" t="str">
        <x:v>👏👏👏👏</x:v>
      </x:c>
      <x:c r="P43" s="13" t="str">
        <x:v>https://www.instagram.com/p/DbHIQy_vIdZ/</x:v>
      </x:c>
      <x:c r="Q43" s="13" t="str">
        <x:v>@brunobettero</x:v>
      </x:c>
      <x:c r="R43" s="13" t="str">
        <x:v>Grandes resultados não acontecem por acaso. Conversei com @adriellehondaa , referência em financiamento e atualmente a vendedora nº 1 de Alagoas na modalidade. Mais de 40 minutos de conversa, muito aprendizado e vários insights sobre vendas. Mais do que falar </x:v>
      </x:c>
      <x:c r="S43" s="13" t="str">
        <x:v>Vendedora Web no setor automotivo; bom contato para validar dor e chegar ao decisor da conta.</x:v>
      </x:c>
      <x:c r="T43" s="13" t="str">
        <x:v>Confirmar empresa atual, nº de unidades, investimento em Ads e volume de novos leads no WhatsApp</x:v>
      </x:c>
      <x:c r="U43" s="13" t="str">
        <x:v>Usar como champion e pedir contexto/indicação do responsável</x:v>
      </x:c>
      <x:c r="V43" s="12" t="str">
        <x:v>Apify · Instagram Scraper</x:v>
      </x:c>
      <x:c r="W43" s="15" t="d">
        <x:v>2026-10-08T15:00:00.000Z</x:v>
      </x:c>
      <x:c r="X43" s="12" t="str">
        <x:v>Pendente</x:v>
      </x:c>
      <x:c r="Y43" s="12" t="str">
        <x:v>Não iniciado</x:v>
      </x:c>
      <x:c r="Z43" s="12" t="n">
        <x:v>12</x:v>
      </x:c>
      <x:c r="AA43" s="13" t="str">
        <x:v>Conta com 12 contatos: escolher 1 decisor e 1 champion antes da abordagem.</x:v>
      </x:c>
    </x:row>
    <x:row r="44" ht="44" customHeight="1">
      <x:c r="A44" s="16" t="n">
        <x:v>40</x:v>
      </x:c>
      <x:c r="B44" s="16" t="str">
        <x:v>B</x:v>
      </x:c>
      <x:c r="C44" s="16" t="n">
        <x:v>66</x:v>
      </x:c>
      <x:c r="D44" s="12" t="str">
        <x:v>Mayara da Honda</x:v>
      </x:c>
      <x:c r="E44" s="12" t="str">
        <x:v>@mayaradahonda</x:v>
      </x:c>
      <x:c r="F44" s="13" t="str">
        <x:v>💵 A vista 💳 Cartão 💰 Financiamento 📩 Carta de crédito Atendimento presencial e on-line 💻 #VempraGigante</x:v>
      </x:c>
      <x:c r="G44" s="12" t="str">
        <x:v>Consultora Honda</x:v>
      </x:c>
      <x:c r="H44" s="12" t="str">
        <x:v>Honda</x:v>
      </x:c>
      <x:c r="I44" s="12" t="str">
        <x:v>Usuário / champion</x:v>
      </x:c>
      <x:c r="J44" s="17" t="n">
        <x:v>1710</x:v>
      </x:c>
      <x:c r="K44" s="12" t="str">
        <x:v>https://www.instagram.com/mayaradahonda</x:v>
      </x:c>
      <x:c r="L44" s="12" t="str">
        <x:v>Não localizado</x:v>
      </x:c>
      <x:c r="M44" s="12" t="str">
        <x:v>Não localizado</x:v>
      </x:c>
      <x:c r="N44" s="12" t="str">
        <x:v>https://wa.me/message/TESRE5COWJQND1</x:v>
      </x:c>
      <x:c r="O44" s="13" t="str">
        <x:v>👏👏</x:v>
      </x:c>
      <x:c r="P44" s="13" t="str">
        <x:v>https://www.instagram.com/p/DeAdQGkNGVG/</x:v>
      </x:c>
      <x:c r="Q44" s="13" t="str">
        <x:v>@alagoasmotos</x:v>
      </x:c>
      <x:c r="R44" s="13" t="str">
        <x:v>🚀 A Alagoas Motos está crescendo em Palmeira dos Índios! E para acompanhar esse crescimento, estamos chegando com mais um ponto na cidade, trazendo mais motos, mais oportunidades e ainda mais qualidade no atendimento. É a Gigante crescendo para estar cada vez</x:v>
      </x:c>
      <x:c r="S44" s="13" t="str">
        <x:v>Consultora Honda no setor automotivo; bom contato para validar dor e chegar ao decisor da conta.</x:v>
      </x:c>
      <x:c r="T44" s="13" t="str">
        <x:v>Confirmar empresa atual, nº de unidades, investimento em Ads e volume de novos leads no WhatsApp</x:v>
      </x:c>
      <x:c r="U44" s="13" t="str">
        <x:v>Usar como champion e pedir contexto/indicação do responsável</x:v>
      </x:c>
      <x:c r="V44" s="12" t="str">
        <x:v>Apify · Instagram Scraper</x:v>
      </x:c>
      <x:c r="W44" s="15" t="d">
        <x:v>2026-10-08T15:00:00.000Z</x:v>
      </x:c>
      <x:c r="X44" s="12" t="str">
        <x:v>Pendente</x:v>
      </x:c>
      <x:c r="Y44" s="12" t="str">
        <x:v>Não iniciado</x:v>
      </x:c>
      <x:c r="Z44" s="12" t="n">
        <x:v>5</x:v>
      </x:c>
      <x:c r="AA44" s="13" t="str">
        <x:v>Conta com 5 contatos: escolher 1 decisor e 1 champion antes da abordagem.</x:v>
      </x:c>
    </x:row>
    <x:row r="45" ht="44" customHeight="1">
      <x:c r="A45" s="16" t="n">
        <x:v>41</x:v>
      </x:c>
      <x:c r="B45" s="16" t="str">
        <x:v>B</x:v>
      </x:c>
      <x:c r="C45" s="16" t="n">
        <x:v>66</x:v>
      </x:c>
      <x:c r="D45" s="12" t="str">
        <x:v>Débora Ávila</x:v>
      </x:c>
      <x:c r="E45" s="12" t="str">
        <x:v>@debora_avila1980</x:v>
      </x:c>
      <x:c r="F45" s="13" t="str">
        <x:v>🎯 Executiva de vendas Caoa Chery Novos e Seminovos 📈 Conta Profissional</x:v>
      </x:c>
      <x:c r="G45" s="12" t="str">
        <x:v>Executiva de Vendas</x:v>
      </x:c>
      <x:c r="H45" s="12" t="str">
        <x:v>CAOA Chery</x:v>
      </x:c>
      <x:c r="I45" s="12" t="str">
        <x:v>Usuário / champion</x:v>
      </x:c>
      <x:c r="J45" s="17" t="n">
        <x:v>1046</x:v>
      </x:c>
      <x:c r="K45" s="12" t="str">
        <x:v>https://www.instagram.com/debora_avila1980</x:v>
      </x:c>
      <x:c r="L45" s="12" t="str">
        <x:v>Não localizado</x:v>
      </x:c>
      <x:c r="M45" s="12" t="str">
        <x:v>Não localizado</x:v>
      </x:c>
      <x:c r="N45" s="12" t="str">
        <x:v>https://chery.original-autos.online/debora</x:v>
      </x:c>
      <x:c r="O45" s="13" t="str">
        <x:v>👏👏</x:v>
      </x:c>
      <x:c r="P45" s="13" t="str">
        <x:v>https://www.instagram.com/p/Dd6TSoDDM_1/</x:v>
      </x:c>
      <x:c r="Q45" s="13" t="str">
        <x:v>@thedealerspodcast</x:v>
      </x:c>
      <x:c r="R45" s="13" t="str">
        <x:v>Tudo começou numa oficina de bairro. Ainda criança, o Alessandro Soldi passava as tardes xeretando o dia a dia da oficina do seu Pedro, e foi ali que nasceu a paixão que virou torneiro mecânico, depois engenharia, depois Volkswagen. No THE DEALERS, ele conta c</x:v>
      </x:c>
      <x:c r="S45" s="13" t="str">
        <x:v>Executiva de Vendas no setor automotivo; bom contato para validar dor e chegar ao decisor da conta.</x:v>
      </x:c>
      <x:c r="T45" s="13" t="str">
        <x:v>Confirmar empresa atual, nº de unidades, investimento em Ads e volume de novos leads no WhatsApp</x:v>
      </x:c>
      <x:c r="U45" s="13" t="str">
        <x:v>Usar como champion e pedir contexto/indicação do responsável</x:v>
      </x:c>
      <x:c r="V45" s="12" t="str">
        <x:v>Apify · Instagram Scraper</x:v>
      </x:c>
      <x:c r="W45" s="15" t="d">
        <x:v>2026-10-08T15:00:00.000Z</x:v>
      </x:c>
      <x:c r="X45" s="12" t="str">
        <x:v>Pendente</x:v>
      </x:c>
      <x:c r="Y45" s="12" t="str">
        <x:v>Não iniciado</x:v>
      </x:c>
      <x:c r="Z45" s="12" t="n">
        <x:v>1</x:v>
      </x:c>
      <x:c r="AA45" s="13" t="str">
        <x:v>Pesquisar a conta e validar o ICP antes da abordagem.</x:v>
      </x:c>
    </x:row>
    <x:row r="46" ht="44" customHeight="1">
      <x:c r="A46" s="16" t="n">
        <x:v>42</x:v>
      </x:c>
      <x:c r="B46" s="16" t="str">
        <x:v>B</x:v>
      </x:c>
      <x:c r="C46" s="16" t="n">
        <x:v>66</x:v>
      </x:c>
      <x:c r="D46" s="12" t="str">
        <x:v>Tiago Ripoli</x:v>
      </x:c>
      <x:c r="E46" s="12" t="str">
        <x:v>@tiago_ripoli</x:v>
      </x:c>
      <x:c r="F46" s="13" t="str">
        <x:v>Energia e persistência conquistam todas as coisas 🏢 | Volkswagen 🚗 📚 | Unip - ADM 🏃‍♂️ | Esportes 🏊‍♂️ |🚴| 🏹 | 💪 🏃‍♂️ @gabyfernandalves 💍❤️</x:v>
      </x:c>
      <x:c r="G46" s="12" t="str">
        <x:v>Profissional Volkswagen</x:v>
      </x:c>
      <x:c r="H46" s="12" t="str">
        <x:v>Volkswagen</x:v>
      </x:c>
      <x:c r="I46" s="12" t="str">
        <x:v>Usuário / champion</x:v>
      </x:c>
      <x:c r="J46" s="17" t="n">
        <x:v>888</x:v>
      </x:c>
      <x:c r="K46" s="12" t="str">
        <x:v>https://www.instagram.com/tiago_ripoli</x:v>
      </x:c>
      <x:c r="L46" s="12" t="str">
        <x:v>Não localizado</x:v>
      </x:c>
      <x:c r="M46" s="12" t="str">
        <x:v>Não localizado</x:v>
      </x:c>
      <x:c r="N46" s="12" t="str">
        <x:v>http://www.discasa.com.br/</x:v>
      </x:c>
      <x:c r="O46" s="13" t="str">
        <x:v>Resposta</x:v>
      </x:c>
      <x:c r="P46" s="13" t="str">
        <x:v>https://www.instagram.com/p/DdXGTPkvkQ1/</x:v>
      </x:c>
      <x:c r="Q46" s="13" t="str">
        <x:v>@alessandra_falqueiro</x:v>
      </x:c>
      <x:c r="R46" s="13" t="str">
        <x:v>1️⃣ Siga @alessandra_falqueiro 2️⃣ Comenta RESPOSTA aqui embaixo para receber as 20 respostas prontas. 90% dos vendedores travam quando o cliente joga a objeção na mesa. Você não! Pois vai ter agora 20 respostas de objeção mais comuns pra nunca ficar sem o que</x:v>
      </x:c>
      <x:c r="S46" s="13" t="str">
        <x:v>Profissional Volkswagen no setor automotivo; bom contato para validar dor e chegar ao decisor da conta.</x:v>
      </x:c>
      <x:c r="T46" s="13" t="str">
        <x:v>Confirmar empresa atual, nº de unidades, investimento em Ads e volume de novos leads no WhatsApp</x:v>
      </x:c>
      <x:c r="U46" s="13" t="str">
        <x:v>Usar como champion e pedir contexto/indicação do responsável</x:v>
      </x:c>
      <x:c r="V46" s="12" t="str">
        <x:v>Apify · Instagram Scraper</x:v>
      </x:c>
      <x:c r="W46" s="15" t="d">
        <x:v>2026-10-08T15:00:00.000Z</x:v>
      </x:c>
      <x:c r="X46" s="12" t="str">
        <x:v>Pendente</x:v>
      </x:c>
      <x:c r="Y46" s="12" t="str">
        <x:v>Não iniciado</x:v>
      </x:c>
      <x:c r="Z46" s="12" t="n">
        <x:v>1</x:v>
      </x:c>
      <x:c r="AA46" s="13" t="str">
        <x:v>Pesquisar a conta e validar o ICP antes da abordagem.</x:v>
      </x:c>
    </x:row>
    <x:row r="47" ht="44" customHeight="1">
      <x:c r="A47" s="16" t="n">
        <x:v>43</x:v>
      </x:c>
      <x:c r="B47" s="16" t="str">
        <x:v>B</x:v>
      </x:c>
      <x:c r="C47" s="16" t="n">
        <x:v>66</x:v>
      </x:c>
      <x:c r="D47" s="12" t="str">
        <x:v>Clayton consultor de veículos-BYD</x:v>
      </x:c>
      <x:c r="E47" s="12" t="str">
        <x:v>@tomclay500</x:v>
      </x:c>
      <x:c r="F47" s="13" t="str">
        <x:v>Experiência em mobilidade elétrica e híbrida. -ETFES -FAESA-Gestão empresarial -18 anos de mercado</x:v>
      </x:c>
      <x:c r="G47" s="12" t="str">
        <x:v>Consultor de Veículos</x:v>
      </x:c>
      <x:c r="H47" s="12" t="str">
        <x:v>BYD</x:v>
      </x:c>
      <x:c r="I47" s="12" t="str">
        <x:v>Usuário / champion</x:v>
      </x:c>
      <x:c r="J47" s="17" t="n">
        <x:v>538</x:v>
      </x:c>
      <x:c r="K47" s="12" t="str">
        <x:v>https://www.instagram.com/tomclay500</x:v>
      </x:c>
      <x:c r="L47" s="12" t="str">
        <x:v>Não localizado</x:v>
      </x:c>
      <x:c r="M47" s="12" t="str">
        <x:v>Não localizado</x:v>
      </x:c>
      <x:c r="N47" s="12" t="str">
        <x:v>https://api.whatsapp.com/send/?phone=551127997509212&amp;type=phone_number&amp;app_absent=0</x:v>
      </x:c>
      <x:c r="O47" s="13" t="str">
        <x:v>Parabéns meu camarada🔥</x:v>
      </x:c>
      <x:c r="P47" s="13" t="str">
        <x:v>https://www.instagram.com/p/DH9sO3oueLM/</x:v>
      </x:c>
      <x:c r="Q47" s="13" t="str">
        <x:v>@bobbio_jackson</x:v>
      </x:c>
      <x:c r="R47" s="13" t="str">
        <x:v>Jackson Bobbio Dettogni Especialista em Gestão Automotiva e Agrícola Profissional com mais de 30 anos de experiência nos setores automotivo e agrícola, com atuação em empresas como Audi, Land Rover, Fiat, Toyota, Honda, Kia, Mercedes Caminhões e New Holland. A</x:v>
      </x:c>
      <x:c r="S47" s="13" t="str">
        <x:v>Consultor de Veículos no setor automotivo; bom contato para validar dor e chegar ao decisor da conta.</x:v>
      </x:c>
      <x:c r="T47" s="13" t="str">
        <x:v>Confirmar empresa atual, nº de unidades, investimento em Ads e volume de novos leads no WhatsApp</x:v>
      </x:c>
      <x:c r="U47" s="13" t="str">
        <x:v>Usar como champion e pedir contexto/indicação do responsável</x:v>
      </x:c>
      <x:c r="V47" s="12" t="str">
        <x:v>Apify · Instagram Scraper</x:v>
      </x:c>
      <x:c r="W47" s="15" t="d">
        <x:v>2026-10-08T15:00:00.000Z</x:v>
      </x:c>
      <x:c r="X47" s="12" t="str">
        <x:v>Pendente</x:v>
      </x:c>
      <x:c r="Y47" s="12" t="str">
        <x:v>Não iniciado</x:v>
      </x:c>
      <x:c r="Z47" s="12" t="n">
        <x:v>1</x:v>
      </x:c>
      <x:c r="AA47" s="13" t="str">
        <x:v>Pesquisar a conta e validar o ICP antes da abordagem.</x:v>
      </x:c>
    </x:row>
    <x:row r="48" ht="44" customHeight="1">
      <x:c r="A48" s="16" t="n">
        <x:v>44</x:v>
      </x:c>
      <x:c r="B48" s="16" t="str">
        <x:v>B</x:v>
      </x:c>
      <x:c r="C48" s="16" t="n">
        <x:v>66</x:v>
      </x:c>
      <x:c r="D48" s="12" t="str">
        <x:v>LEONARDO - ALAGOAS MOTOS</x:v>
      </x:c>
      <x:c r="E48" s="12" t="str">
        <x:v>@leonardo082_honda</x:v>
      </x:c>
      <x:c r="F48" s="13" t="str">
        <x:v>🏍️ | Especialista em Financiamento 💰 | Aprovação rápida e condições exclusivas 📍 | Alagoas Motos - Arapiraca 📲 | Fale comigo no WhatsApp</x:v>
      </x:c>
      <x:c r="G48" s="12" t="str">
        <x:v>Especialista em Financiamento</x:v>
      </x:c>
      <x:c r="H48" s="12" t="str">
        <x:v>Alagoas Motos</x:v>
      </x:c>
      <x:c r="I48" s="12" t="str">
        <x:v>Usuário / champion</x:v>
      </x:c>
      <x:c r="J48" s="17" t="n">
        <x:v>482</x:v>
      </x:c>
      <x:c r="K48" s="12" t="str">
        <x:v>https://www.instagram.com/leonardo082_honda</x:v>
      </x:c>
      <x:c r="L48" s="12" t="str">
        <x:v>Não localizado</x:v>
      </x:c>
      <x:c r="M48" s="12" t="str">
        <x:v>Não localizado</x:v>
      </x:c>
      <x:c r="N48" s="12" t="str">
        <x:v>https://wa.me/message/FRQEJMTWFC3KH1</x:v>
      </x:c>
      <x:c r="O48" s="13" t="str">
        <x:v>👏👏👏</x:v>
      </x:c>
      <x:c r="P48" s="13" t="str">
        <x:v>https://www.instagram.com/p/DbHIQy_vIdZ/</x:v>
      </x:c>
      <x:c r="Q48" s="13" t="str">
        <x:v>@brunobettero</x:v>
      </x:c>
      <x:c r="R48" s="13" t="str">
        <x:v>Grandes resultados não acontecem por acaso. Conversei com @adriellehondaa , referência em financiamento e atualmente a vendedora nº 1 de Alagoas na modalidade. Mais de 40 minutos de conversa, muito aprendizado e vários insights sobre vendas. Mais do que falar </x:v>
      </x:c>
      <x:c r="S48" s="13" t="str">
        <x:v>Especialista em Financiamento no setor automotivo; bom contato para validar dor e chegar ao decisor da conta.</x:v>
      </x:c>
      <x:c r="T48" s="13" t="str">
        <x:v>Confirmar empresa atual, nº de unidades, investimento em Ads e volume de novos leads no WhatsApp</x:v>
      </x:c>
      <x:c r="U48" s="13" t="str">
        <x:v>Usar como champion e pedir contexto/indicação do responsável</x:v>
      </x:c>
      <x:c r="V48" s="12" t="str">
        <x:v>Apify · Instagram Scraper</x:v>
      </x:c>
      <x:c r="W48" s="15" t="d">
        <x:v>2026-10-08T15:00:00.000Z</x:v>
      </x:c>
      <x:c r="X48" s="12" t="str">
        <x:v>Pendente</x:v>
      </x:c>
      <x:c r="Y48" s="12" t="str">
        <x:v>Não iniciado</x:v>
      </x:c>
      <x:c r="Z48" s="12" t="n">
        <x:v>12</x:v>
      </x:c>
      <x:c r="AA48" s="13" t="str">
        <x:v>Conta com 12 contatos: escolher 1 decisor e 1 champion antes da abordagem.</x:v>
      </x:c>
    </x:row>
    <x:row r="49" ht="44" customHeight="1">
      <x:c r="A49" s="16" t="n">
        <x:v>45</x:v>
      </x:c>
      <x:c r="B49" s="16" t="str">
        <x:v>B</x:v>
      </x:c>
      <x:c r="C49" s="16" t="n">
        <x:v>64</x:v>
      </x:c>
      <x:c r="D49" s="12" t="str">
        <x:v>Wagner Fitzner</x:v>
      </x:c>
      <x:c r="E49" s="12" t="str">
        <x:v>@entendendo.consorciohonda</x:v>
      </x:c>
      <x:c r="F49" s="13" t="str">
        <x:v>Consórcio Honda sem enrolação. 🏆 28 anos de experiência 🎯 Vendas • Estratégia • Gestão 👇 O que o vendedor gostaria de ter aprendido antes</x:v>
      </x:c>
      <x:c r="G49" s="12" t="str">
        <x:v>Profissional de Vendas e Gestão</x:v>
      </x:c>
      <x:c r="H49" s="12" t="str">
        <x:v>Consórcio Honda</x:v>
      </x:c>
      <x:c r="I49" s="12" t="str">
        <x:v>Usuário / champion</x:v>
      </x:c>
      <x:c r="J49" s="17" t="n">
        <x:v>4730</x:v>
      </x:c>
      <x:c r="K49" s="12" t="str">
        <x:v>https://www.instagram.com/entendendo.consorciohonda</x:v>
      </x:c>
      <x:c r="L49" s="12" t="str">
        <x:v>Não localizado</x:v>
      </x:c>
      <x:c r="M49" s="12" t="str">
        <x:v>Não localizado</x:v>
      </x:c>
      <x:c r="N49" s="12" t="str">
        <x:v>Não localizado</x:v>
      </x:c>
      <x:c r="O49" s="13" t="str">
        <x:v>👏👏👏👏</x:v>
      </x:c>
      <x:c r="P49" s="13" t="str">
        <x:v>https://www.instagram.com/p/DdCgIByvjcl/</x:v>
      </x:c>
      <x:c r="Q49" s="13" t="str">
        <x:v>@guilherme.honda1</x:v>
      </x:c>
      <x:c r="R49" s="13" t="str">
        <x:v>Papo sobre vendas , Ep 1. 🎥 Vender uma moto não é simplesmente entregar um veículo. É participar da realização de um sonho e ajudar as pessoas a conquistar mais mobilidade e melhorar a sua qualidade de vida! Na Liderança na Ponta, compartilho minha experiênci</x:v>
      </x:c>
      <x:c r="S49" s="13" t="str">
        <x:v>Profissional de Vendas e Gestão no setor automotivo; bom contato para validar dor e chegar ao decisor da conta.</x:v>
      </x:c>
      <x:c r="T49" s="13" t="str">
        <x:v>Confirmar empresa atual, nº de unidades, investimento em Ads e volume de novos leads no WhatsApp</x:v>
      </x:c>
      <x:c r="U49" s="13" t="str">
        <x:v>Usar como champion e pedir contexto/indicação do responsável</x:v>
      </x:c>
      <x:c r="V49" s="12" t="str">
        <x:v>Apify · Instagram Scraper</x:v>
      </x:c>
      <x:c r="W49" s="15" t="d">
        <x:v>2026-10-08T15:00:00.000Z</x:v>
      </x:c>
      <x:c r="X49" s="12" t="str">
        <x:v>Pendente</x:v>
      </x:c>
      <x:c r="Y49" s="12" t="str">
        <x:v>Não iniciado</x:v>
      </x:c>
      <x:c r="Z49" s="12" t="n">
        <x:v>3</x:v>
      </x:c>
      <x:c r="AA49" s="13" t="str">
        <x:v>Conta com 3 contatos: escolher 1 decisor e 1 champion antes da abordagem.</x:v>
      </x:c>
    </x:row>
    <x:row r="50" ht="44" customHeight="1">
      <x:c r="A50" s="16" t="n">
        <x:v>46</x:v>
      </x:c>
      <x:c r="B50" s="16" t="str">
        <x:v>B</x:v>
      </x:c>
      <x:c r="C50" s="16" t="n">
        <x:v>64</x:v>
      </x:c>
      <x:c r="D50" s="12" t="str">
        <x:v>Rosi Firmino</x:v>
      </x:c>
      <x:c r="E50" s="12" t="str">
        <x:v>@rosi.firmino1</x:v>
      </x:c>
      <x:c r="F50" s="13" t="str">
        <x:v>💙Mãe do Be 👩‍💼Empresária por propósito 🤍Deus iluminando e guiando meu caminho 🚘 Vivendo no mundo dos carros ✨@clovinho_veiculos</x:v>
      </x:c>
      <x:c r="G50" s="12" t="str">
        <x:v>Empresária automotiva</x:v>
      </x:c>
      <x:c r="H50" s="12" t="str">
        <x:v>Clovinho Veículos</x:v>
      </x:c>
      <x:c r="I50" s="12" t="str">
        <x:v>Usuário / champion</x:v>
      </x:c>
      <x:c r="J50" s="17" t="n">
        <x:v>1982</x:v>
      </x:c>
      <x:c r="K50" s="12" t="str">
        <x:v>https://www.instagram.com/rosi.firmino1</x:v>
      </x:c>
      <x:c r="L50" s="12" t="str">
        <x:v>Não localizado</x:v>
      </x:c>
      <x:c r="M50" s="12" t="str">
        <x:v>Não localizado</x:v>
      </x:c>
      <x:c r="N50" s="12" t="str">
        <x:v>Não localizado</x:v>
      </x:c>
      <x:c r="O50" s="13" t="str">
        <x:v>Virada</x:v>
      </x:c>
      <x:c r="P50" s="13" t="str">
        <x:v>https://www.instagram.com/p/Dde-XqAzoDK/</x:v>
      </x:c>
      <x:c r="Q50" s="13" t="str">
        <x:v>@wagnercavalcantee</x:v>
      </x:c>
      <x:c r="R50" s="13" t="str">
        <x:v>Três dias para parar um pouco a rotina da loja, olhar para o que está acontecendo de verdade e organizar os próximos 90 dias. Vamos falar de gestão, vendas, processos e das decisões que muitas vezes ficam para depois na correria do dia a dia. Sem fórmula pront</x:v>
      </x:c>
      <x:c r="S50" s="13" t="str">
        <x:v>Empresária automotiva no setor automotivo; bom contato para validar dor e chegar ao decisor da conta.</x:v>
      </x:c>
      <x:c r="T50" s="13" t="str">
        <x:v>Confirmar empresa atual, nº de unidades, investimento em Ads e volume de novos leads no WhatsApp</x:v>
      </x:c>
      <x:c r="U50" s="13" t="str">
        <x:v>Usar como champion e pedir contexto/indicação do responsável</x:v>
      </x:c>
      <x:c r="V50" s="12" t="str">
        <x:v>Apify · Instagram Scraper</x:v>
      </x:c>
      <x:c r="W50" s="15" t="d">
        <x:v>2026-10-08T15:00:00.000Z</x:v>
      </x:c>
      <x:c r="X50" s="12" t="str">
        <x:v>Pendente</x:v>
      </x:c>
      <x:c r="Y50" s="12" t="str">
        <x:v>Não iniciado</x:v>
      </x:c>
      <x:c r="Z50" s="12" t="n">
        <x:v>1</x:v>
      </x:c>
      <x:c r="AA50" s="13" t="str">
        <x:v>Pesquisar a conta e validar o ICP antes da abordagem.</x:v>
      </x:c>
    </x:row>
    <x:row r="51" ht="44" customHeight="1">
      <x:c r="A51" s="16" t="n">
        <x:v>47</x:v>
      </x:c>
      <x:c r="B51" s="16" t="str">
        <x:v>B</x:v>
      </x:c>
      <x:c r="C51" s="16" t="n">
        <x:v>64</x:v>
      </x:c>
      <x:c r="D51" s="12" t="str">
        <x:v>Nathalia Nispeche | Executiva de vendas | GAC JAVEP</x:v>
      </x:c>
      <x:c r="E51" s="12" t="str">
        <x:v>@nathnispeche</x:v>
      </x:c>
      <x:c r="F51" s="13" t="str">
        <x:v>🚗 Híbridos Elétricos Combustão 🎯 Vendas, estratégia &amp; negociação ✨ Transformando oportunidades em negócios</x:v>
      </x:c>
      <x:c r="G51" s="12" t="str">
        <x:v>Executiva de Vendas</x:v>
      </x:c>
      <x:c r="H51" s="12" t="str">
        <x:v>GAC JAVEP</x:v>
      </x:c>
      <x:c r="I51" s="12" t="str">
        <x:v>Usuário / champion</x:v>
      </x:c>
      <x:c r="J51" s="17" t="n">
        <x:v>1738</x:v>
      </x:c>
      <x:c r="K51" s="12" t="str">
        <x:v>https://www.instagram.com/nathnispeche</x:v>
      </x:c>
      <x:c r="L51" s="12" t="str">
        <x:v>Não localizado</x:v>
      </x:c>
      <x:c r="M51" s="12" t="str">
        <x:v>Não localizado</x:v>
      </x:c>
      <x:c r="N51" s="12" t="str">
        <x:v>Não localizado</x:v>
      </x:c>
      <x:c r="O51" s="13" t="str">
        <x:v>Resposta 😍</x:v>
      </x:c>
      <x:c r="P51" s="13" t="str">
        <x:v>https://www.instagram.com/p/DdXGTPkvkQ1/</x:v>
      </x:c>
      <x:c r="Q51" s="13" t="str">
        <x:v>@alessandra_falqueiro</x:v>
      </x:c>
      <x:c r="R51" s="13" t="str">
        <x:v>1️⃣ Siga @alessandra_falqueiro 2️⃣ Comenta RESPOSTA aqui embaixo para receber as 20 respostas prontas. 90% dos vendedores travam quando o cliente joga a objeção na mesa. Você não! Pois vai ter agora 20 respostas de objeção mais comuns pra nunca ficar sem o que</x:v>
      </x:c>
      <x:c r="S51" s="13" t="str">
        <x:v>Executiva de Vendas no setor automotivo; bom contato para validar dor e chegar ao decisor da conta.</x:v>
      </x:c>
      <x:c r="T51" s="13" t="str">
        <x:v>Confirmar empresa atual, nº de unidades, investimento em Ads e volume de novos leads no WhatsApp</x:v>
      </x:c>
      <x:c r="U51" s="13" t="str">
        <x:v>Usar como champion e pedir contexto/indicação do responsável</x:v>
      </x:c>
      <x:c r="V51" s="12" t="str">
        <x:v>Apify · Instagram Scraper</x:v>
      </x:c>
      <x:c r="W51" s="15" t="d">
        <x:v>2026-10-08T15:00:00.000Z</x:v>
      </x:c>
      <x:c r="X51" s="12" t="str">
        <x:v>Pendente</x:v>
      </x:c>
      <x:c r="Y51" s="12" t="str">
        <x:v>Não iniciado</x:v>
      </x:c>
      <x:c r="Z51" s="12" t="n">
        <x:v>1</x:v>
      </x:c>
      <x:c r="AA51" s="13" t="str">
        <x:v>Pesquisar a conta e validar o ICP antes da abordagem.</x:v>
      </x:c>
    </x:row>
    <x:row r="52" ht="44" customHeight="1">
      <x:c r="A52" s="16" t="n">
        <x:v>48</x:v>
      </x:c>
      <x:c r="B52" s="16" t="str">
        <x:v>C</x:v>
      </x:c>
      <x:c r="C52" s="16" t="n">
        <x:v>54</x:v>
      </x:c>
      <x:c r="D52" s="12" t="str">
        <x:v>Bruna Fernandes Cardoso</x:v>
      </x:c>
      <x:c r="E52" s="12" t="str">
        <x:v>@brunafeh</x:v>
      </x:c>
      <x:c r="F52" s="13" t="str">
        <x:v>👩‍💻 CRM, MKT e Redes Sociais para Negócios 📷 Mãe • Cristã • Líder 🙏🏼 “He makes all things beautiful” Eccl 3:11</x:v>
      </x:c>
      <x:c r="G52" s="12" t="str">
        <x:v>Liderança em CRM e Marketing</x:v>
      </x:c>
      <x:c r="H52" s="12" t="str">
        <x:v>Empresa não identificada na bio</x:v>
      </x:c>
      <x:c r="I52" s="12" t="str">
        <x:v>Influenciador operacional</x:v>
      </x:c>
      <x:c r="J52" s="17" t="n">
        <x:v>91868</x:v>
      </x:c>
      <x:c r="K52" s="12" t="str">
        <x:v>https://www.instagram.com/brunafeh</x:v>
      </x:c>
      <x:c r="L52" s="12" t="str">
        <x:v>Não localizado</x:v>
      </x:c>
      <x:c r="M52" s="12" t="str">
        <x:v>Não localizado</x:v>
      </x:c>
      <x:c r="N52" s="12" t="str">
        <x:v>https://linktr.ee/brunafeh</x:v>
      </x:c>
      <x:c r="O52" s="13" t="str">
        <x:v>Uow 👏👏👏👏👏👏</x:v>
      </x:c>
      <x:c r="P52" s="13" t="str">
        <x:v>https://www.instagram.com/p/Dcjha2elp-S/</x:v>
      </x:c>
      <x:c r="Q52" s="13" t="str">
        <x:v>@autoavaliar</x:v>
      </x:c>
      <x:c r="R52" s="13" t="str">
        <x:v>#tbt 30 mil transações realizadas em um único mês. Um marco que merece ser celebrado. 🚀 No dia 18/8, após o segundo dia da Fenabrave, reunimos cerca de 200 convidados no Palácio Tangará para comemorar esse resultado ao lado de quem faz o mercado automotivo ac</x:v>
      </x:c>
      <x:c r="S52" s="13" t="str">
        <x:v>Atua no ecossistema automotivo; tratar como parceiro ou ponte, não como cliente prioritário.</x:v>
      </x:c>
      <x:c r="T52" s="13" t="str">
        <x:v>Confirmar empresa atual, nº de unidades, investimento em Ads e volume de novos leads no WhatsApp</x:v>
      </x:c>
      <x:c r="U52" s="13" t="str">
        <x:v>Usar como champion e pedir contexto/indicação do responsável</x:v>
      </x:c>
      <x:c r="V52" s="12" t="str">
        <x:v>Apify · Instagram Scraper</x:v>
      </x:c>
      <x:c r="W52" s="15" t="d">
        <x:v>2026-10-08T15:00:00.000Z</x:v>
      </x:c>
      <x:c r="X52" s="12" t="str">
        <x:v>Pendente</x:v>
      </x:c>
      <x:c r="Y52" s="12" t="str">
        <x:v>Não iniciado</x:v>
      </x:c>
      <x:c r="Z52" s="12" t="n">
        <x:v>2</x:v>
      </x:c>
      <x:c r="AA52" s="13" t="str">
        <x:v>Conta com 2 contatos: escolher 1 decisor e 1 champion antes da abordagem.</x:v>
      </x:c>
    </x:row>
    <x:row r="53" ht="44" customHeight="1">
      <x:c r="A53" s="16" t="n">
        <x:v>49</x:v>
      </x:c>
      <x:c r="B53" s="16" t="str">
        <x:v>C</x:v>
      </x:c>
      <x:c r="C53" s="16" t="n">
        <x:v>52</x:v>
      </x:c>
      <x:c r="D53" s="12" t="str">
        <x:v>Representante comercial</x:v>
      </x:c>
      <x:c r="E53" s="12" t="str">
        <x:v>@carolina_brazzo</x:v>
      </x:c>
      <x:c r="F53" s="13" t="str">
        <x:v>🔰@brazzo.oficial 🔰@mobato.oficial 🔰Atendimento personalizado em concessionárias 🚘</x:v>
      </x:c>
      <x:c r="G53" s="12" t="str">
        <x:v>Representante Comercial</x:v>
      </x:c>
      <x:c r="H53" s="12" t="str">
        <x:v>Brazzo / Mobato</x:v>
      </x:c>
      <x:c r="I53" s="12" t="str">
        <x:v>Usuário / champion</x:v>
      </x:c>
      <x:c r="J53" s="17" t="n">
        <x:v>418</x:v>
      </x:c>
      <x:c r="K53" s="12" t="str">
        <x:v>https://www.instagram.com/carolina_brazzo</x:v>
      </x:c>
      <x:c r="L53" s="12" t="str">
        <x:v>Não localizado</x:v>
      </x:c>
      <x:c r="M53" s="12" t="str">
        <x:v>Não localizado</x:v>
      </x:c>
      <x:c r="N53" s="12" t="str">
        <x:v>Não localizado</x:v>
      </x:c>
      <x:c r="O53" s="13" t="str">
        <x:v>👏👏👏👏👏👏</x:v>
      </x:c>
      <x:c r="P53" s="13" t="str">
        <x:v>https://www.instagram.com/p/DcjQvuDkppM/</x:v>
      </x:c>
      <x:c r="Q53" s="13" t="str">
        <x:v>@mobato.oficial</x:v>
      </x:c>
      <x:c r="R53" s="13" t="str">
        <x:v>Tecnologia também é sobre confiança. 🔐 A Mobato comemora a conquista da certificação ISO 27001, um importante reconhecimento do nosso compromisso com a segurança da informação e com a proteção dos dados que fazem parte da nossa operação. Essa certificação ref</x:v>
      </x:c>
      <x:c r="S53" s="13" t="str">
        <x:v>Atua no ecossistema automotivo; tratar como parceiro ou ponte, não como cliente prioritário.</x:v>
      </x:c>
      <x:c r="T53" s="13" t="str">
        <x:v>Confirmar empresa atual, nº de unidades, investimento em Ads e volume de novos leads no WhatsApp</x:v>
      </x:c>
      <x:c r="U53" s="13" t="str">
        <x:v>Usar como champion e pedir contexto/indicação do responsável</x:v>
      </x:c>
      <x:c r="V53" s="12" t="str">
        <x:v>Apify · Instagram Scraper</x:v>
      </x:c>
      <x:c r="W53" s="15" t="d">
        <x:v>2026-10-08T15:00:00.000Z</x:v>
      </x:c>
      <x:c r="X53" s="12" t="str">
        <x:v>Pendente</x:v>
      </x:c>
      <x:c r="Y53" s="12" t="str">
        <x:v>Não iniciado</x:v>
      </x:c>
      <x:c r="Z53" s="12" t="n">
        <x:v>1</x:v>
      </x:c>
      <x:c r="AA53" s="13" t="str">
        <x:v>Pesquisar a conta e validar o ICP antes da abordagem.</x:v>
      </x:c>
    </x:row>
    <x:row r="54" ht="44" customHeight="1">
      <x:c r="A54" s="16" t="n">
        <x:v>50</x:v>
      </x:c>
      <x:c r="B54" s="16" t="str">
        <x:v>C</x:v>
      </x:c>
      <x:c r="C54" s="16" t="n">
        <x:v>50</x:v>
      </x:c>
      <x:c r="D54" s="12" t="str">
        <x:v>Lucas Ricardo Belizário</x:v>
      </x:c>
      <x:c r="E54" s="12" t="str">
        <x:v>@lucasricardobelizario</x:v>
      </x:c>
      <x:c r="F54" s="13" t="str">
        <x:v>Trabalhe, sirva e seja forte! Gestão de vendas BRAZZO 🔰 - Pátria amada 🇧🇷 🚙🎼🏋️💍</x:v>
      </x:c>
      <x:c r="G54" s="12" t="str">
        <x:v>Gestão de Vendas</x:v>
      </x:c>
      <x:c r="H54" s="12" t="str">
        <x:v>Brazzo</x:v>
      </x:c>
      <x:c r="I54" s="12" t="str">
        <x:v>Usuário / champion</x:v>
      </x:c>
      <x:c r="J54" s="17" t="n">
        <x:v>1829</x:v>
      </x:c>
      <x:c r="K54" s="12" t="str">
        <x:v>https://www.instagram.com/lucasricardobelizario</x:v>
      </x:c>
      <x:c r="L54" s="12" t="str">
        <x:v>Não localizado</x:v>
      </x:c>
      <x:c r="M54" s="12" t="str">
        <x:v>Não localizado</x:v>
      </x:c>
      <x:c r="N54" s="12" t="str">
        <x:v>http://www.linkedin.com/in/lrb13041983-5a7848b7</x:v>
      </x:c>
      <x:c r="O54" s="13" t="str">
        <x:v>Grande conquista!</x:v>
      </x:c>
      <x:c r="P54" s="13" t="str">
        <x:v>https://www.instagram.com/p/DcjQvuDkppM/</x:v>
      </x:c>
      <x:c r="Q54" s="13" t="str">
        <x:v>@mobato.oficial</x:v>
      </x:c>
      <x:c r="R54" s="13" t="str">
        <x:v>Tecnologia também é sobre confiança. 🔐 A Mobato comemora a conquista da certificação ISO 27001, um importante reconhecimento do nosso compromisso com a segurança da informação e com a proteção dos dados que fazem parte da nossa operação. Essa certificação ref</x:v>
      </x:c>
      <x:c r="S54" s="13" t="str">
        <x:v>Atua no ecossistema automotivo; tratar como parceiro ou ponte, não como cliente prioritário.</x:v>
      </x:c>
      <x:c r="T54" s="13" t="str">
        <x:v>Confirmar empresa atual, nº de unidades, investimento em Ads e volume de novos leads no WhatsApp</x:v>
      </x:c>
      <x:c r="U54" s="13" t="str">
        <x:v>Usar como champion e pedir contexto/indicação do responsável</x:v>
      </x:c>
      <x:c r="V54" s="12" t="str">
        <x:v>Apify · Instagram Scraper</x:v>
      </x:c>
      <x:c r="W54" s="15" t="d">
        <x:v>2026-10-08T15:00:00.000Z</x:v>
      </x:c>
      <x:c r="X54" s="12" t="str">
        <x:v>Pendente</x:v>
      </x:c>
      <x:c r="Y54" s="12" t="str">
        <x:v>Não iniciado</x:v>
      </x:c>
      <x:c r="Z54" s="12" t="n">
        <x:v>1</x:v>
      </x:c>
      <x:c r="AA54" s="13" t="str">
        <x:v>Pesquisar a conta e validar o ICP antes da abordagem.</x:v>
      </x:c>
    </x:row>
  </x:sheetData>
  <x:mergeCells>
    <x:mergeCell ref="A1:AA1"/>
    <x:mergeCell ref="A2:AA2"/>
  </x:mergeCells>
  <x:conditionalFormatting sqref="B5:B54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C5:C54">
    <x:cfRule type="dataBar" priority="4">
      <x:dataBar>
        <x:cfvo type="min"/>
        <x:cfvo type="max"/>
        <x:color rgb="FFF05A0A"/>
      </x:dataBar>
      <x:extLst>
        <x:ext xmlns:x14="http://schemas.microsoft.com/office/spreadsheetml/2009/9/main" uri="{B025F937-C7B1-47D3-B67F-A62EFF666E3E}">
          <x14:id>bca8b840-e563-41fd-be09-a4b42fd7742d</x14:id>
        </x:ext>
      </x:extLst>
    </x:cfRule>
  </x:conditionalFormatting>
  <x:dataValidations count="2">
    <x:dataValidation type="list" sqref="X5:X54">
      <x:formula1>"Pendente,Em pesquisa,Validado,Desqualificado"</x:formula1>
    </x:dataValidation>
    <x:dataValidation type="list" sqref="Y5:Y54">
      <x:formula1>"Não iniciado,Preparando abordagem,Contatado,Respondeu,Reunião marcada,Sem retorno,Descartado"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c183e79b6941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bca8b840-e563-41fd-be09-a4b42fd7742d">
            <x14:dataBar gradient="1">
              <x14:cfvo type="min"/>
              <x14:cfvo type="max"/>
              <x14:fillColor rgb="FFF05A0A"/>
            </x14:dataBar>
          </x14:cfRule>
          <xm:sqref>C5:C54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32" hidden="0" customWidth="1"/>
    <x:col min="4" max="4" width="35" hidden="0" customWidth="1"/>
    <x:col min="5" max="5" width="28" hidden="0" customWidth="1"/>
    <x:col min="6" max="6" width="24" hidden="0" customWidth="1"/>
  </x:cols>
  <x:sheetData>
    <x:row r="1">
      <x:c r="A1" s="19" t="str">
        <x:v>Estratégia para transformar os sinais em contas qualificadas</x:v>
      </x:c>
      <x:c r="B1" s="19"/>
      <x:c r="C1" s="19"/>
      <x:c r="D1" s="19"/>
      <x:c r="E1" s="19"/>
      <x:c r="F1" s="19"/>
    </x:row>
    <x:row r="2">
      <x:c r="A2" s="1"/>
      <x:c r="B2" s="1"/>
      <x:c r="C2" s="1"/>
      <x:c r="D2" s="1"/>
      <x:c r="E2" s="1"/>
      <x:c r="F2" s="1"/>
    </x:row>
    <x:row r="3" ht="38" customHeight="1">
      <x:c r="A3" s="57" t="str">
        <x:v>Etapa</x:v>
      </x:c>
      <x:c r="B3" s="57" t="str">
        <x:v>Pergunta binária</x:v>
      </x:c>
      <x:c r="C3" s="57" t="str">
        <x:v>Fonte sugerida</x:v>
      </x:c>
      <x:c r="D3" s="57" t="str">
        <x:v>Ação</x:v>
      </x:c>
      <x:c r="E3" s="57" t="str">
        <x:v>Saída</x:v>
      </x:c>
      <x:c r="F3" s="57" t="str">
        <x:v>Critério de avanço</x:v>
      </x:c>
    </x:row>
    <x:row r="4" ht="50" customHeight="1">
      <x:c r="A4" s="60" t="str">
        <x:v>1. Agrupar por conta</x:v>
      </x:c>
      <x:c r="B4" s="13" t="str">
        <x:v>Há mais de um contato da mesma empresa?</x:v>
      </x:c>
      <x:c r="C4" s="13" t="str">
        <x:v>Coluna Empresa e Contatos na mesma conta</x:v>
      </x:c>
      <x:c r="D4" s="13" t="str">
        <x:v>Manter 1 decisor + 1 champion por conta</x:v>
      </x:c>
      <x:c r="E4" s="13" t="str">
        <x:v>Fila sem duplicação</x:v>
      </x:c>
      <x:c r="F4" s="13" t="str">
        <x:v>Conta identificada</x:v>
      </x:c>
    </x:row>
    <x:row r="5" ht="50" customHeight="1">
      <x:c r="A5" s="60" t="str">
        <x:v>2. Validar tipo de empresa</x:v>
      </x:c>
      <x:c r="B5" s="13" t="str">
        <x:v>É concessionária autorizada e focada em marcas?</x:v>
      </x:c>
      <x:c r="C5" s="13" t="str">
        <x:v>Site, Instagram, Google Maps, Dealerbook</x:v>
      </x:c>
      <x:c r="D5" s="13" t="str">
        <x:v>Registrar bandeiras e excluir multimarcas genéricas</x:v>
      </x:c>
      <x:c r="E5" s="13" t="str">
        <x:v>Sim / Não</x:v>
      </x:c>
      <x:c r="F5" s="13" t="str">
        <x:v>Sim</x:v>
      </x:c>
    </x:row>
    <x:row r="6" ht="50" customHeight="1">
      <x:c r="A6" s="60" t="str">
        <x:v>3. Validar escala</x:v>
      </x:c>
      <x:c r="B6" s="13" t="str">
        <x:v>Há mais de 3 unidades ativas?</x:v>
      </x:c>
      <x:c r="C6" s="13" t="str">
        <x:v>Site, Google Maps, CNPJ / Data Stone quando disponível</x:v>
      </x:c>
      <x:c r="D6" s="13" t="str">
        <x:v>Contar endereços e filiais com evidência</x:v>
      </x:c>
      <x:c r="E6" s="13" t="str">
        <x:v>Número de unidades</x:v>
      </x:c>
      <x:c r="F6" s="13" t="str">
        <x:v>4 ou mais</x:v>
      </x:c>
    </x:row>
    <x:row r="7" ht="50" customHeight="1">
      <x:c r="A7" s="60" t="str">
        <x:v>4. Validar aquisição</x:v>
      </x:c>
      <x:c r="B7" s="13" t="str">
        <x:v>A empresa investe em anúncios?</x:v>
      </x:c>
      <x:c r="C7" s="13" t="str">
        <x:v>Meta Ad Library e criativos ativos</x:v>
      </x:c>
      <x:c r="D7" s="13" t="str">
        <x:v>Registrar quantidade de anúncios e URL da biblioteca</x:v>
      </x:c>
      <x:c r="E7" s="13" t="str">
        <x:v>Sim / Não + evidência</x:v>
      </x:c>
      <x:c r="F7" s="13" t="str">
        <x:v>Sim</x:v>
      </x:c>
    </x:row>
    <x:row r="8" ht="50" customHeight="1">
      <x:c r="A8" s="60" t="str">
        <x:v>5. Validar WhatsApp</x:v>
      </x:c>
      <x:c r="B8" s="13" t="str">
        <x:v>O site ou Instagram direciona novos leads ao WhatsApp?</x:v>
      </x:c>
      <x:c r="C8" s="13" t="str">
        <x:v>Site, schema, links wa.me/api.whatsapp e CTAs</x:v>
      </x:c>
      <x:c r="D8" s="13" t="str">
        <x:v>Registrar URL e contexto de captação</x:v>
      </x:c>
      <x:c r="E8" s="13" t="str">
        <x:v>Sim / Não + evidência</x:v>
      </x:c>
      <x:c r="F8" s="13" t="str">
        <x:v>Sim</x:v>
      </x:c>
    </x:row>
    <x:row r="9" ht="50" customHeight="1">
      <x:c r="A9" s="60" t="str">
        <x:v>6. Validar volume</x:v>
      </x:c>
      <x:c r="B9" s="13" t="str">
        <x:v>Existe volume relevante de tráfego e novos leads?</x:v>
      </x:c>
      <x:c r="C9" s="13" t="str">
        <x:v>Similarweb, atividade social e pergunta em call</x:v>
      </x:c>
      <x:c r="D9" s="13" t="str">
        <x:v>Usar tráfego como proxy e confirmar na conversa</x:v>
      </x:c>
      <x:c r="E9" s="13" t="str">
        <x:v>Proxy + confirmação</x:v>
      </x:c>
      <x:c r="F9" s="13" t="str">
        <x:v>Sinal suficiente</x:v>
      </x:c>
    </x:row>
    <x:row r="10" ht="50" customHeight="1">
      <x:c r="A10" s="60" t="str">
        <x:v>7. Escolher pessoa</x:v>
      </x:c>
      <x:c r="B10" s="13" t="str">
        <x:v>Há decisor ou líder de vendas/CRM/BDC/marketing?</x:v>
      </x:c>
      <x:c r="C10" s="13" t="str">
        <x:v>Bio, LinkedIn e equipe do site</x:v>
      </x:c>
      <x:c r="D10" s="13" t="str">
        <x:v>Escolher decisor; manter operador como champion</x:v>
      </x:c>
      <x:c r="E10" s="13" t="str">
        <x:v>Contato principal e apoio</x:v>
      </x:c>
      <x:c r="F10" s="13" t="str">
        <x:v>Papel claro</x:v>
      </x:c>
    </x:row>
    <x:row r="11" ht="50" customHeight="1">
      <x:c r="A11" s="60" t="str">
        <x:v>8. Abordar</x:v>
      </x:c>
      <x:c r="B11" s="13" t="str">
        <x:v>Há gancho real do comentário, cargo e empresa?</x:v>
      </x:c>
      <x:c r="C11" s="13" t="str">
        <x:v>Post e comentário de origem</x:v>
      </x:c>
      <x:c r="D11" s="13" t="str">
        <x:v>Abrir pela dor/contexto; apresentar Patagon AI em uma frase</x:v>
      </x:c>
      <x:c r="E11" s="13" t="str">
        <x:v>Mensagem personalizada</x:v>
      </x:c>
      <x:c r="F11" s="13" t="str">
        <x:v>Sem suposição inventada</x:v>
      </x:c>
    </x:row>
    <x:row r="12" ht="50" customHeight="1">
      <x:c r="A12" s="1"/>
      <x:c r="B12" s="1"/>
      <x:c r="C12" s="1"/>
      <x:c r="D12" s="1"/>
      <x:c r="E12" s="1"/>
      <x:c r="F12" s="1"/>
    </x:row>
    <x:row r="13" ht="50" customHeight="1">
      <x:c r="A13" s="1"/>
      <x:c r="B13" s="1"/>
      <x:c r="C13" s="1"/>
      <x:c r="D13" s="1"/>
      <x:c r="E13" s="1"/>
      <x:c r="F13" s="1"/>
    </x:row>
    <x:row r="14" ht="34" customHeight="1">
      <x:c r="A14" s="26" t="str">
        <x:v>Sequência de abordagem recomendada</x:v>
      </x:c>
      <x:c r="B14" s="26"/>
      <x:c r="C14" s="26"/>
      <x:c r="D14" s="26"/>
      <x:c r="E14" s="26"/>
      <x:c r="F14" s="26"/>
    </x:row>
    <x:row r="15" ht="34" customHeight="1">
      <x:c r="A15" s="57" t="str">
        <x:v>Momento</x:v>
      </x:c>
      <x:c r="B15" s="57" t="str">
        <x:v>Objetivo</x:v>
      </x:c>
      <x:c r="C15" s="57" t="str">
        <x:v>Mensagem-base</x:v>
      </x:c>
      <x:c r="D15" s="57" t="str">
        <x:v>Usar do perfil</x:v>
      </x:c>
      <x:c r="E15" s="57" t="str">
        <x:v>Evitar</x:v>
      </x:c>
      <x:c r="F15" s="57" t="str">
        <x:v>Próximo passo</x:v>
      </x:c>
    </x:row>
    <x:row r="16" ht="50" customHeight="1">
      <x:c r="A16" s="13" t="str">
        <x:v>1. Contexto</x:v>
      </x:c>
      <x:c r="B16" s="13" t="str">
        <x:v>Mostrar relevância</x:v>
      </x:c>
      <x:c r="C16" s="13" t="str">
        <x:v>Vi seu comentário no post sobre [tema]. Faz sentido com o que você vive em [empresa/cargo]?</x:v>
      </x:c>
      <x:c r="D16" s="13" t="str">
        <x:v>Comentário e assunto do post</x:v>
      </x:c>
      <x:c r="E16" s="13" t="str">
        <x:v>Elogio genérico</x:v>
      </x:c>
      <x:c r="F16" s="13" t="str">
        <x:v>Obter resposta</x:v>
      </x:c>
    </x:row>
    <x:row r="17" ht="50" customHeight="1">
      <x:c r="A17" s="13" t="str">
        <x:v>2. Diagnóstico</x:v>
      </x:c>
      <x:c r="B17" s="13" t="str">
        <x:v>Confirmar dor</x:v>
      </x:c>
      <x:c r="C17" s="13" t="str">
        <x:v>Como vocês tratam hoje o volume de leads novos que chega pelo WhatsApp?</x:v>
      </x:c>
      <x:c r="D17" s="13" t="str">
        <x:v>Cargo e operação</x:v>
      </x:c>
      <x:c r="E17" s="13" t="str">
        <x:v>Presumir problema</x:v>
      </x:c>
      <x:c r="F17" s="13" t="str">
        <x:v>Entender processo</x:v>
      </x:c>
    </x:row>
    <x:row r="18" ht="50" customHeight="1">
      <x:c r="A18" s="13" t="str">
        <x:v>3. Valor</x:v>
      </x:c>
      <x:c r="B18" s="13" t="str">
        <x:v>Conectar Patagon AI</x:v>
      </x:c>
      <x:c r="C18" s="13" t="str">
        <x:v>A Patagon AI ajuda operações com volume de inbound no WhatsApp a responder, qualificar e avançar oportunidades com IA.</x:v>
      </x:c>
      <x:c r="D18" s="13" t="str">
        <x:v>Dor confirmada</x:v>
      </x:c>
      <x:c r="E18" s="13" t="str">
        <x:v>Pitch longo</x:v>
      </x:c>
      <x:c r="F18" s="13" t="str">
        <x:v>Gerar curiosidade</x:v>
      </x:c>
    </x:row>
    <x:row r="19" ht="50" customHeight="1">
      <x:c r="A19" s="13" t="str">
        <x:v>4. CTA</x:v>
      </x:c>
      <x:c r="B19" s="13" t="str">
        <x:v>Avançar sem pressão</x:v>
      </x:c>
      <x:c r="C19" s="13" t="str">
        <x:v>Se fizer sentido, te mostro em 15 minutos como isso se encaixaria na operação de vocês. Quem mais deveria participar?</x:v>
      </x:c>
      <x:c r="D19" s="13" t="str">
        <x:v>Papel na compra</x:v>
      </x:c>
      <x:c r="E19" s="13" t="str">
        <x:v>Pedir reunião sem contexto</x:v>
      </x:c>
      <x:c r="F19" s="13" t="str">
        <x:v>Reunião com decisor</x:v>
      </x:c>
    </x:row>
    <x:row r="20" ht="50" customHeight="1">
      <x:c r="A20" s="1"/>
      <x:c r="B20" s="1"/>
      <x:c r="C20" s="1"/>
      <x:c r="D20" s="1"/>
      <x:c r="E20" s="1"/>
      <x:c r="F20" s="1"/>
    </x:row>
    <x:row r="21" ht="50" customHeight="1">
      <x:c r="A21" s="1"/>
      <x:c r="B21" s="1"/>
      <x:c r="C21" s="1"/>
      <x:c r="D21" s="1"/>
      <x:c r="E21" s="1"/>
      <x:c r="F21" s="1"/>
    </x:row>
    <x:row r="22" ht="28" customHeight="1">
      <x:c r="A22" s="56" t="str">
        <x:v>Regras de qualidade</x:v>
      </x:c>
      <x:c r="B22" s="56"/>
      <x:c r="C22" s="56"/>
      <x:c r="D22" s="56"/>
      <x:c r="E22" s="56"/>
      <x:c r="F22" s="56"/>
    </x:row>
    <x:row r="23" ht="50" customHeight="1">
      <x:c r="A23" s="64" t="str">
        <x:v>1. Não inventar e-mail, telefone, cargo ou empresa. “Não localizado” é um resultado válido.</x:v>
      </x:c>
      <x:c r="B23" s="64"/>
      <x:c r="C23" s="64"/>
      <x:c r="D23" s="64"/>
      <x:c r="E23" s="64"/>
      <x:c r="F23" s="64"/>
    </x:row>
    <x:row r="24" ht="50" customHeight="1">
      <x:c r="A24" s="64" t="str">
        <x:v>2. Não disparar para todos os contatos da mesma conta. Selecione o mapa de compra mínimo.</x:v>
      </x:c>
      <x:c r="B24" s="64"/>
      <x:c r="C24" s="64"/>
      <x:c r="D24" s="64"/>
      <x:c r="E24" s="64"/>
      <x:c r="F24" s="64"/>
    </x:row>
    <x:row r="25" ht="50" customHeight="1">
      <x:c r="A25" s="64" t="str">
        <x:v>3. Vendedor ou consultor pode ser um ótimo champion, mas raramente é o comprador final.</x:v>
      </x:c>
      <x:c r="B25" s="64"/>
      <x:c r="C25" s="64"/>
      <x:c r="D25" s="64"/>
      <x:c r="E25" s="64"/>
      <x:c r="F25" s="64"/>
    </x:row>
    <x:row r="26" ht="50" customHeight="1">
      <x:c r="A26" s="64" t="str">
        <x:v>4. Consultores, fornecedores e concorrentes entram como fonte ou parceria, não como cliente direto.</x:v>
      </x:c>
      <x:c r="B26" s="64"/>
      <x:c r="C26" s="64"/>
      <x:c r="D26" s="64"/>
      <x:c r="E26" s="64"/>
      <x:c r="F26" s="64"/>
    </x:row>
  </x:sheetData>
  <x:mergeCells>
    <x:mergeCell ref="A1:F1"/>
    <x:mergeCell ref="A14:F14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