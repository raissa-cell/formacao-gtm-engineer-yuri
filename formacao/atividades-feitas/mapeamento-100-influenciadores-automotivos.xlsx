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ad0f6ca1a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fca97a3490f44a1"/>
    <x:sheet xmlns:r="http://schemas.openxmlformats.org/officeDocument/2006/relationships" name="Mapa 100" sheetId="2" r:id="R5f3ffa0216034164"/>
    <x:sheet xmlns:r="http://schemas.openxmlformats.org/officeDocument/2006/relationships" name="Critérios" sheetId="3" r:id="R84123a0d26e2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16">
    <x:font>
      <x:sz val="11"/>
      <x:name val="Carlito"/>
    </x:font>
    <x:font>
      <x:b/>
      <x:sz val="20"/>
      <x:color rgb="FFFFFFFF"/>
      <x:name val="Arial"/>
    </x:font>
    <x:font>
      <x:i/>
      <x:sz val="10"/>
      <x:color rgb="FF12213F"/>
      <x:name val="Arial"/>
    </x:font>
    <x:font>
      <x:b/>
      <x:sz val="10"/>
      <x:color rgb="FFFFFFFF"/>
      <x:name val="Arial"/>
    </x:font>
    <x:font>
      <x:b/>
      <x:sz val="22"/>
      <x:color rgb="FF12213F"/>
      <x:name val="Arial"/>
    </x:font>
    <x:font>
      <x:b/>
      <x:sz val="12"/>
      <x:color rgb="FFFFFFFF"/>
      <x:name val="Arial"/>
    </x:font>
    <x:font>
      <x:sz val="11"/>
      <x:color rgb="FF12213F"/>
      <x:name val="Arial"/>
    </x:font>
    <x:font>
      <x:sz val="9"/>
      <x:color rgb="FF1F2937"/>
      <x:name val="Arial"/>
    </x:font>
    <x:font>
      <x:b/>
      <x:sz val="18"/>
      <x:color rgb="FFFFFFFF"/>
      <x:name val="Arial"/>
    </x:font>
    <x:font>
      <x:b/>
      <x:sz val="11"/>
      <x:color rgb="FF146C43"/>
      <x:name val="Arial"/>
    </x:font>
    <x:font>
      <x:b/>
      <x:sz val="11"/>
      <x:color rgb="FF8A5A00"/>
      <x:name val="Arial"/>
    </x:font>
    <x:font>
      <x:b/>
      <x:sz val="11"/>
      <x:color rgb="FFA61B1B"/>
      <x:name val="Arial"/>
    </x:font>
    <x:font>
      <x:sz val="9"/>
      <x:color rgb="FF12213F"/>
      <x:name val="Arial"/>
    </x:font>
    <x:font>
      <x:b/>
      <x:sz val="11"/>
      <x:color rgb="FFFFFFFF"/>
      <x:name val="Arial"/>
    </x:font>
    <x:font>
      <x:sz val="10"/>
      <x:color rgb="FF1F2937"/>
      <x:name val="Arial"/>
    </x:font>
    <x:font>
      <x:b/>
      <x:sz val="10"/>
      <x:color rgb="FF12213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2213F"/>
      </x:patternFill>
    </x:fill>
    <x:fill>
      <x:patternFill patternType="solid">
        <x:fgColor rgb="FFF5EFE4"/>
      </x:patternFill>
    </x:fill>
    <x:fill>
      <x:patternFill patternType="solid">
        <x:fgColor rgb="FFF05A18"/>
      </x:patternFill>
    </x:fill>
    <x:fill>
      <x:patternFill patternType="solid">
        <x:fgColor rgb="FFFFFFFF"/>
      </x:patternFill>
    </x:fill>
    <x:fill>
      <x:patternFill patternType="solid">
        <x:fgColor rgb="FFEAF0F8"/>
      </x:patternFill>
    </x:fill>
    <x:fill>
      <x:patternFill patternType="solid">
        <x:fgColor rgb="FFDDF3E6"/>
      </x:patternFill>
    </x:fill>
    <x:fill>
      <x:patternFill patternType="solid">
        <x:fgColor rgb="FFFFF1C7"/>
      </x:patternFill>
    </x:fill>
    <x:fill>
      <x:patternFill patternType="solid">
        <x:fgColor rgb="FFFDE2E2"/>
      </x:patternFill>
    </x:fill>
    <x:fill>
      <x:patternFill patternType="solid">
        <x:fgColor rgb="FFFDE9DD"/>
      </x:patternFill>
    </x:fill>
  </x:fills>
  <x:borders count="12">
    <x:border>
      <x:left/>
      <x:right/>
      <x:top/>
      <x:bottom/>
      <x:diagonal/>
    </x:border>
    <x:border>
      <x:left style="thin">
        <x:color rgb="FFD4D9E2"/>
      </x:left>
      <x:right/>
      <x:top style="thin">
        <x:color rgb="FFD4D9E2"/>
      </x:top>
      <x:bottom style="thin">
        <x:color rgb="FFD4D9E2"/>
      </x:bottom>
      <x:diagonal/>
    </x:border>
    <x:border>
      <x:left/>
      <x:right style="thin">
        <x:color rgb="FFD4D9E2"/>
      </x:right>
      <x:top style="thin">
        <x:color rgb="FFD4D9E2"/>
      </x:top>
      <x:bottom style="thin">
        <x:color rgb="FFD4D9E2"/>
      </x:bottom>
      <x:diagonal/>
    </x:border>
    <x:border>
      <x:left style="thin">
        <x:color rgb="FFD4D9E2"/>
      </x:left>
      <x:right/>
      <x:top style="thin">
        <x:color rgb="FFD4D9E2"/>
      </x:top>
      <x:bottom/>
      <x:diagonal/>
    </x:border>
    <x:border>
      <x:left/>
      <x:right style="thin">
        <x:color rgb="FFD4D9E2"/>
      </x:right>
      <x:top style="thin">
        <x:color rgb="FFD4D9E2"/>
      </x:top>
      <x:bottom/>
      <x:diagonal/>
    </x:border>
    <x:border>
      <x:left style="thin">
        <x:color rgb="FFD4D9E2"/>
      </x:left>
      <x:right/>
      <x:top/>
      <x:bottom style="thin">
        <x:color rgb="FFD4D9E2"/>
      </x:bottom>
      <x:diagonal/>
    </x:border>
    <x:border>
      <x:left/>
      <x:right style="thin">
        <x:color rgb="FFD4D9E2"/>
      </x:right>
      <x:top/>
      <x:bottom style="thin">
        <x:color rgb="FFD4D9E2"/>
      </x:bottom>
      <x:diagonal/>
    </x:border>
    <x:border>
      <x:left/>
      <x:right/>
      <x:top style="thin">
        <x:color rgb="FFD4D9E2"/>
      </x:top>
      <x:bottom/>
      <x:diagonal/>
    </x:border>
    <x:border>
      <x:left style="thin">
        <x:color rgb="FFD4D9E2"/>
      </x:left>
      <x:right/>
      <x:top/>
      <x:bottom/>
      <x:diagonal/>
    </x:border>
    <x:border>
      <x:left/>
      <x:right style="thin">
        <x:color rgb="FFD4D9E2"/>
      </x:right>
      <x:top/>
      <x:bottom/>
      <x:diagonal/>
    </x:border>
    <x:border>
      <x:left/>
      <x:right/>
      <x:top/>
      <x:bottom style="thin">
        <x:color rgb="FFD4D9E2"/>
      </x:bottom>
      <x:diagonal/>
    </x:border>
    <x:border>
      <x:left style="thin">
        <x:color rgb="FFD4D9E2"/>
      </x:left>
      <x:right style="thin">
        <x:color rgb="FFD4D9E2"/>
      </x:right>
      <x:top style="thin">
        <x:color rgb="FFD4D9E2"/>
      </x:top>
      <x:bottom style="thin">
        <x:color rgb="FFD4D9E2"/>
      </x:bottom>
      <x:diagonal/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7" xfId="0" applyNumberFormat="1" applyFont="1" applyFill="1" applyBorder="1"/>
    <x:xf numFmtId="0" fontId="6" fillId="6" borderId="4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5" xfId="0" applyNumberFormat="1" applyFont="1" applyFill="1" applyBorder="1"/>
    <x:xf numFmtId="0" fontId="6" fillId="6" borderId="10" xfId="0" applyNumberFormat="1" applyFont="1" applyFill="1" applyBorder="1"/>
    <x:xf numFmtId="0" fontId="6" fillId="6" borderId="6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1" xfId="0" applyNumberFormat="1" applyFont="1" applyFill="1" applyBorder="1"/>
    <x:xf numFmtId="0" fontId="7" fillId="0" borderId="11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7" fillId="0" borderId="11" xfId="0" applyNumberFormat="1" applyFont="1" applyFill="1" applyBorder="1" applyAlignment="1">
      <x:alignment horizontal="center" vertical="center" wrapText="1"/>
    </x:xf>
    <x:xf numFmtId="201" fontId="7" fillId="0" borderId="11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/>
    <x:xf numFmtId="0" fontId="14" fillId="0" borderId="0" xfId="0" applyNumberFormat="1" applyFont="1" applyFill="1" applyBorder="1"/>
    <x:xf numFmtId="0" fontId="14" fillId="0" borderId="11" xfId="0" applyNumberFormat="1" applyFont="1" applyFill="1" applyBorder="1"/>
    <x:xf numFmtId="0" fontId="14" fillId="0" borderId="11" xfId="0" applyNumberFormat="1" applyFont="1" applyFill="1" applyBorder="1" applyAlignment="1">
      <x:alignment wrapText="1"/>
    </x:xf>
    <x:xf numFmtId="0" fontId="14" fillId="0" borderId="11" xfId="0" applyNumberFormat="1" applyFont="1" applyFill="1" applyBorder="1" applyAlignment="1">
      <x:alignment vertical="top" wrapText="1"/>
    </x:xf>
    <x:xf numFmtId="0" fontId="14" fillId="10" borderId="11" xfId="0" applyNumberFormat="1" applyFont="1" applyFill="1" applyBorder="1" applyAlignment="1">
      <x:alignment vertical="top" wrapText="1"/>
    </x:xf>
    <x:xf numFmtId="0" fontId="15" fillId="1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F7F9FC"/>
        </x:patternFill>
      </x:fill>
    </x:dxf>
    <x:dxf>
      <x:fill>
        <x:patternFill patternType="solid">
          <x:bgColor rgb="FFF7F9FC"/>
        </x:patternFill>
      </x:fill>
    </x:dxf>
    <x:dxf>
      <x:font>
        <x:b/>
        <x:color rgb="FF146C43"/>
      </x:font>
      <x:fill>
        <x:patternFill patternType="solid">
          <x:bgColor rgb="FFDDF3E6"/>
        </x:patternFill>
      </x:fill>
    </x:dxf>
    <x:dxf>
      <x:font>
        <x:b/>
        <x:color rgb="FF8A5A00"/>
      </x:font>
      <x:fill>
        <x:patternFill patternType="solid">
          <x:bgColor rgb="FFFFF1C7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ff685be214b7b" /><Relationship Type="http://schemas.openxmlformats.org/officeDocument/2006/relationships/theme" Target="/xl/theme/theme1.xml" Id="R8bd7fd8fd2644292" /><Relationship Type="http://schemas.openxmlformats.org/officeDocument/2006/relationships/sharedStrings" Target="/xl/sharedStrings.xml" Id="R42e89eb640cb4bae" /><Relationship Type="http://schemas.openxmlformats.org/officeDocument/2006/relationships/worksheet" Target="/xl/worksheets/sheet1.xml" Id="Refca97a3490f44a1" /><Relationship Type="http://schemas.openxmlformats.org/officeDocument/2006/relationships/worksheet" Target="/xl/worksheets/sheet2.xml" Id="R5f3ffa0216034164" /><Relationship Type="http://schemas.openxmlformats.org/officeDocument/2006/relationships/worksheet" Target="/xl/worksheets/sheet3.xml" Id="R84123a0d26e24cbd" /></Relationships>
</file>

<file path=xl/tables/table1.xml><?xml version="1.0" encoding="utf-8"?>
<x:table xmlns:x="http://schemas.openxmlformats.org/spreadsheetml/2006/main" id="1" name="MapaInfluenciadores" displayName="MapaInfluenciadores" ref="A9:W109" headerRowCount="1" totalsRowCount="0" totalsRowShown="0">
  <x:tableColumns count="23">
    <x:tableColumn id="1" name="Rank"/>
    <x:tableColumn id="2" name="Prioridade"/>
    <x:tableColumn id="3" name="Uso na coleta"/>
    <x:tableColumn id="4" name="Score"/>
    <x:tableColumn id="5" name="Tipo de fonte"/>
    <x:tableColumn id="6" name="Nome"/>
    <x:tableColumn id="7" name="Usuário"/>
    <x:tableColumn id="8" name="URL do perfil"/>
    <x:tableColumn id="9" name="Foco / bio"/>
    <x:tableColumn id="10" name="Seguidores"/>
    <x:tableColumn id="11" name="Publicações"/>
    <x:tableColumn id="12" name="Conta comercial"/>
    <x:tableColumn id="13" name="Verificado"/>
    <x:tableColumn id="14" name="Última publicação"/>
    <x:tableColumn id="15" name="Status de atividade"/>
    <x:tableColumn id="16" name="Máx. comentários (12)"/>
    <x:tableColumn id="17" name="Média comentários (12)"/>
    <x:tableColumn id="18" name="Aderência ao ICP"/>
    <x:tableColumn id="19" name="Público provável"/>
    <x:tableColumn id="20" name="Risco de ruído"/>
    <x:tableColumn id="21" name="Motivo da priorização"/>
    <x:tableColumn id="22" name="Fonte"/>
    <x:tableColumn id="23" name="Coletado 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811132b8c44034" /></Relationships>
</file>

<file path=xl/worksheets/sheet1.xml><?xml version="1.0" encoding="utf-8"?>
<x:worksheet xmlns:x="http://schemas.openxmlformats.org/spreadsheetml/2006/main">
  <x:sheetPr>
    <x:tabColor rgb="FFF05A1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26" hidden="0" customWidth="1"/>
    <x:col min="4" max="4" width="26" hidden="0" customWidth="1"/>
    <x:col min="5" max="5" width="9" hidden="0" customWidth="1"/>
    <x:col min="6" max="6" width="17" hidden="0" customWidth="1"/>
    <x:col min="7" max="7" width="16" hidden="0" customWidth="1"/>
    <x:col min="8" max="8" width="22" hidden="0" customWidth="1"/>
    <x:col min="9" max="9" width="10" hidden="0" customWidth="1"/>
    <x:col min="10" max="10" width="42" hidden="0" customWidth="1"/>
  </x:cols>
  <x:sheetData>
    <x:row r="1" ht="34" customHeight="1">
      <x:c r="A1" s="3" t="str">
        <x:v>Mapa de 100 influenciadores e fontes automotivas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Instagram · público profissional do ecossistema de concessionárias · atualização 07/10/2026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3" t="str">
        <x:v>TOTAL MAPEADO</x:v>
      </x:c>
      <x:c r="B4" s="14"/>
      <x:c r="D4" s="13" t="str">
        <x:v>PRIORIDADE A</x:v>
      </x:c>
      <x:c r="E4" s="14"/>
      <x:c r="G4" s="13" t="str">
        <x:v>ATIVOS ≤ 30 DIAS</x:v>
      </x:c>
      <x:c r="H4" s="14"/>
      <x:c r="I4" s="13" t="str">
        <x:v>COLETA IMEDIATA</x:v>
      </x:c>
      <x:c r="J4" s="14"/>
    </x:row>
    <x:row r="5">
      <x:c r="A5" s="25" t="n">
        <x:f>COUNTA('Mapa 100'!F10:F109)</x:f>
        <x:v>100</x:v>
      </x:c>
      <x:c r="B5" s="26"/>
      <x:c r="D5" s="25" t="n">
        <x:f>COUNTIF('Mapa 100'!B10:B109,"A")</x:f>
        <x:v>33</x:v>
      </x:c>
      <x:c r="E5" s="26"/>
      <x:c r="G5" s="25" t="n">
        <x:f>COUNTIF('Mapa 100'!O10:O109,"Ativo ≤30d")</x:f>
        <x:v>71</x:v>
      </x:c>
      <x:c r="H5" s="26"/>
      <x:c r="I5" s="25" t="n">
        <x:f>COUNTIF('Mapa 100'!C10:C109,"Sim — coleta")+COUNTIF('Mapa 100'!C10:C109,"Sim — monitorar/testar")</x:f>
        <x:v>33</x:v>
      </x:c>
      <x:c r="J5" s="26"/>
    </x:row>
    <x:row r="6">
      <x:c r="A6" s="27"/>
      <x:c r="B6" s="28"/>
      <x:c r="D6" s="27"/>
      <x:c r="E6" s="28"/>
      <x:c r="G6" s="27"/>
      <x:c r="H6" s="28"/>
      <x:c r="I6" s="27"/>
      <x:c r="J6" s="28"/>
    </x:row>
    <x:row r="8">
      <x:c r="A8" s="29" t="str">
        <x:v>COMO USAR ESTE MAPA</x:v>
      </x:c>
      <x:c r="B8" s="29"/>
      <x:c r="C8" s="29"/>
      <x:c r="D8" s="29"/>
      <x:c r="E8" s="29"/>
      <x:c r="F8" s="29"/>
      <x:c r="G8" s="29"/>
      <x:c r="H8" s="29"/>
      <x:c r="I8" s="29"/>
      <x:c r="J8" s="29"/>
    </x:row>
    <x:row r="9">
      <x:c r="A9" s="49" t="str">
        <x:v>Comece pelos perfis A marcados como “Sim — coleta”. Escolha posts com assunto de gestão, CRM/BDC, vendas, leads, Ads ou operação de concessionárias. Extraia comentários e curtidas, depois valide cada pessoa contra o ICP antes de prospectar. Perfis B entram em teste controlado; perfis C servem apenas como radar.</x:v>
      </x:c>
      <x:c r="B9" s="50"/>
      <x:c r="C9" s="50"/>
      <x:c r="D9" s="50"/>
      <x:c r="E9" s="50"/>
      <x:c r="F9" s="50"/>
      <x:c r="G9" s="50"/>
      <x:c r="H9" s="50"/>
      <x:c r="I9" s="50"/>
      <x:c r="J9" s="51"/>
    </x:row>
    <x:row r="10">
      <x:c r="A10" s="52"/>
      <x:c r="B10" s="53"/>
      <x:c r="C10" s="53"/>
      <x:c r="D10" s="53"/>
      <x:c r="E10" s="53"/>
      <x:c r="F10" s="53"/>
      <x:c r="G10" s="53"/>
      <x:c r="H10" s="53"/>
      <x:c r="I10" s="53"/>
      <x:c r="J10" s="54"/>
    </x:row>
    <x:row r="11">
      <x:c r="A11" s="55"/>
      <x:c r="B11" s="56"/>
      <x:c r="C11" s="56"/>
      <x:c r="D11" s="56"/>
      <x:c r="E11" s="56"/>
      <x:c r="F11" s="56"/>
      <x:c r="G11" s="56"/>
      <x:c r="H11" s="56"/>
      <x:c r="I11" s="56"/>
      <x:c r="J11" s="57"/>
    </x:row>
    <x:row r="13">
      <x:c r="A13" s="29" t="str">
        <x:v>TOP 15 PARA COMEÇAR</x:v>
      </x:c>
      <x:c r="B13" s="29"/>
      <x:c r="C13" s="29"/>
      <x:c r="D13" s="29"/>
      <x:c r="E13" s="29"/>
      <x:c r="F13" s="29"/>
      <x:c r="G13" s="29"/>
      <x:c r="H13" s="29"/>
      <x:c r="I13" s="29"/>
      <x:c r="J13" s="29"/>
    </x:row>
    <x:row r="14">
      <x:c r="A14" s="59" t="str">
        <x:v>Rank</x:v>
      </x:c>
      <x:c r="B14" s="59" t="str">
        <x:v>Perfil</x:v>
      </x:c>
      <x:c r="C14" s="59" t="str">
        <x:v>Nome</x:v>
      </x:c>
      <x:c r="D14" s="59" t="str">
        <x:v>Tipo</x:v>
      </x:c>
      <x:c r="E14" s="59" t="str">
        <x:v>Score</x:v>
      </x:c>
      <x:c r="F14" s="59" t="str">
        <x:v>Última atividade</x:v>
      </x:c>
      <x:c r="G14" s="59" t="str">
        <x:v>Máx. comentários</x:v>
      </x:c>
      <x:c r="H14" s="59" t="str">
        <x:v>Uso recomendado</x:v>
      </x:c>
      <x:c r="I14" s="59" t="str">
        <x:v>Risco</x:v>
      </x:c>
      <x:c r="J14" s="59" t="str">
        <x:v>Motivo</x:v>
      </x:c>
    </x:row>
    <x:row r="15">
      <x:c r="A15" s="64" t="n">
        <x:v>1</x:v>
      </x:c>
      <x:c r="B15" s="63" t="str">
        <x:v>@wagnercavalcantee</x:v>
      </x:c>
      <x:c r="C15" s="63" t="str">
        <x:v>Wagner Cavalcante | Acelerador de Negócios</x:v>
      </x:c>
      <x:c r="D15" s="63" t="str">
        <x:v>Educação / consultoria</x:v>
      </x:c>
      <x:c r="E15" s="64" t="n">
        <x:v>97</x:v>
      </x:c>
      <x:c r="F15" s="64" t="str">
        <x:v>Ativo ≤30d</x:v>
      </x:c>
      <x:c r="G15" s="64" t="n">
        <x:v>50</x:v>
      </x:c>
      <x:c r="H15" s="63" t="str">
        <x:v>Sim — coleta</x:v>
      </x:c>
      <x:c r="I15" s="63" t="str">
        <x:v>Baixo</x:v>
      </x:c>
      <x:c r="J15" s="63" t="str">
        <x:v>Alta aderência ao ICP e audiência profissional próxima de concessionárias.</x:v>
      </x:c>
    </x:row>
    <x:row r="16">
      <x:c r="A16" s="64" t="n">
        <x:v>2</x:v>
      </x:c>
      <x:c r="B16" s="63" t="str">
        <x:v>@jrcaporal</x:v>
      </x:c>
      <x:c r="C16" s="63" t="str">
        <x:v>J. R. Caporal</x:v>
      </x:c>
      <x:c r="D16" s="63" t="str">
        <x:v>Pessoa / executivo automotivo</x:v>
      </x:c>
      <x:c r="E16" s="64" t="n">
        <x:v>97</x:v>
      </x:c>
      <x:c r="F16" s="64" t="str">
        <x:v>Ativo ≤30d</x:v>
      </x:c>
      <x:c r="G16" s="64" t="n">
        <x:v>27</x:v>
      </x:c>
      <x:c r="H16" s="63" t="str">
        <x:v>Sim — coleta</x:v>
      </x:c>
      <x:c r="I16" s="63" t="str">
        <x:v>Baixo</x:v>
      </x:c>
      <x:c r="J16" s="63" t="str">
        <x:v>Cargo e conteúdo indicam atuação direta em gestão/operação de concessionárias.</x:v>
      </x:c>
    </x:row>
    <x:row r="17">
      <x:c r="A17" s="64" t="n">
        <x:v>3</x:v>
      </x:c>
      <x:c r="B17" s="63" t="str">
        <x:v>@brunobettero</x:v>
      </x:c>
      <x:c r="C17" s="63" t="str">
        <x:v>Bruno Bettéro</x:v>
      </x:c>
      <x:c r="D17" s="63" t="str">
        <x:v>Pessoa / executivo automotivo</x:v>
      </x:c>
      <x:c r="E17" s="64" t="n">
        <x:v>94</x:v>
      </x:c>
      <x:c r="F17" s="64" t="str">
        <x:v>Ativo ≤30d</x:v>
      </x:c>
      <x:c r="G17" s="64" t="n">
        <x:v>73</x:v>
      </x:c>
      <x:c r="H17" s="63" t="str">
        <x:v>Sim — coleta</x:v>
      </x:c>
      <x:c r="I17" s="63" t="str">
        <x:v>Baixo</x:v>
      </x:c>
      <x:c r="J17" s="63" t="str">
        <x:v>Cargo e conteúdo indicam atuação direta em gestão/operação de concessionárias.</x:v>
      </x:c>
    </x:row>
    <x:row r="18">
      <x:c r="A18" s="64" t="n">
        <x:v>4</x:v>
      </x:c>
      <x:c r="B18" s="63" t="str">
        <x:v>@shay_leapmotor</x:v>
      </x:c>
      <x:c r="C18" s="63" t="str">
        <x:v>Shay Leapmotor</x:v>
      </x:c>
      <x:c r="D18" s="63" t="str">
        <x:v>Pessoa / executivo automotivo</x:v>
      </x:c>
      <x:c r="E18" s="64" t="n">
        <x:v>94</x:v>
      </x:c>
      <x:c r="F18" s="64" t="str">
        <x:v>Ativo ≤30d</x:v>
      </x:c>
      <x:c r="G18" s="64" t="n">
        <x:v>61</x:v>
      </x:c>
      <x:c r="H18" s="63" t="str">
        <x:v>Sim — coleta</x:v>
      </x:c>
      <x:c r="I18" s="63" t="str">
        <x:v>Baixo</x:v>
      </x:c>
      <x:c r="J18" s="63" t="str">
        <x:v>Cargo e conteúdo indicam atuação direta em gestão/operação de concessionárias.</x:v>
      </x:c>
    </x:row>
    <x:row r="19">
      <x:c r="A19" s="64" t="n">
        <x:v>5</x:v>
      </x:c>
      <x:c r="B19" s="63" t="str">
        <x:v>@bobbio_jackson</x:v>
      </x:c>
      <x:c r="C19" s="63" t="str">
        <x:v>Jackson Bobbio | Executivo de Operações</x:v>
      </x:c>
      <x:c r="D19" s="63" t="str">
        <x:v>Pessoa / executivo automotivo</x:v>
      </x:c>
      <x:c r="E19" s="64" t="n">
        <x:v>94</x:v>
      </x:c>
      <x:c r="F19" s="64" t="str">
        <x:v>Ativo ≤30d</x:v>
      </x:c>
      <x:c r="G19" s="64" t="n">
        <x:v>53</x:v>
      </x:c>
      <x:c r="H19" s="63" t="str">
        <x:v>Sim — coleta</x:v>
      </x:c>
      <x:c r="I19" s="63" t="str">
        <x:v>Baixo</x:v>
      </x:c>
      <x:c r="J19" s="63" t="str">
        <x:v>Cargo e conteúdo indicam atuação direta em gestão/operação de concessionárias.</x:v>
      </x:c>
    </x:row>
    <x:row r="20">
      <x:c r="A20" s="64" t="n">
        <x:v>6</x:v>
      </x:c>
      <x:c r="B20" s="63" t="str">
        <x:v>@regionalfenabravemt</x:v>
      </x:c>
      <x:c r="C20" s="63" t="str">
        <x:v>SINCODIV Mato Grosso</x:v>
      </x:c>
      <x:c r="D20" s="63" t="str">
        <x:v>Associação / entidade</x:v>
      </x:c>
      <x:c r="E20" s="64" t="n">
        <x:v>94</x:v>
      </x:c>
      <x:c r="F20" s="64" t="str">
        <x:v>Ativo ≤30d</x:v>
      </x:c>
      <x:c r="G20" s="64" t="n">
        <x:v>50</x:v>
      </x:c>
      <x:c r="H20" s="63" t="str">
        <x:v>Sim — coleta</x:v>
      </x:c>
      <x:c r="I20" s="63" t="str">
        <x:v>Baixo</x:v>
      </x:c>
      <x:c r="J20" s="63" t="str">
        <x:v>Concentra concessionários e gestores; boa fonte de eventos, dirigentes e comentários profissionais.</x:v>
      </x:c>
    </x:row>
    <x:row r="21">
      <x:c r="A21" s="64" t="n">
        <x:v>7</x:v>
      </x:c>
      <x:c r="B21" s="63" t="str">
        <x:v>@thedealerspodcast</x:v>
      </x:c>
      <x:c r="C21" s="63" t="str">
        <x:v>THE DEALERS</x:v>
      </x:c>
      <x:c r="D21" s="63" t="str">
        <x:v>Mídia / podcast</x:v>
      </x:c>
      <x:c r="E21" s="64" t="n">
        <x:v>94</x:v>
      </x:c>
      <x:c r="F21" s="64" t="str">
        <x:v>Ativo ≤30d</x:v>
      </x:c>
      <x:c r="G21" s="64" t="n">
        <x:v>44</x:v>
      </x:c>
      <x:c r="H21" s="63" t="str">
        <x:v>Sim — coleta</x:v>
      </x:c>
      <x:c r="I21" s="63" t="str">
        <x:v>Médio</x:v>
      </x:c>
      <x:c r="J21" s="63" t="str">
        <x:v>Alta aderência ao ICP e audiência profissional próxima de concessionárias.</x:v>
      </x:c>
    </x:row>
    <x:row r="22">
      <x:c r="A22" s="64" t="n">
        <x:v>8</x:v>
      </x:c>
      <x:c r="B22" s="63" t="str">
        <x:v>@sances_dms</x:v>
      </x:c>
      <x:c r="C22" s="63" t="str">
        <x:v>Sances</x:v>
      </x:c>
      <x:c r="D22" s="63" t="str">
        <x:v>Tecnologia / serviço B2B</x:v>
      </x:c>
      <x:c r="E22" s="64" t="n">
        <x:v>94</x:v>
      </x:c>
      <x:c r="F22" s="64" t="str">
        <x:v>Ativo ≤30d</x:v>
      </x:c>
      <x:c r="G22" s="64" t="n">
        <x:v>38</x:v>
      </x:c>
      <x:c r="H22" s="63" t="str">
        <x:v>Sim — coleta</x:v>
      </x:c>
      <x:c r="I22" s="63" t="str">
        <x:v>Baixo</x:v>
      </x:c>
      <x:c r="J22" s="63" t="str">
        <x:v>Solução voltada ao ecossistema automotivo; seguidores tendem a incluir gestores e operadores.</x:v>
      </x:c>
    </x:row>
    <x:row r="23">
      <x:c r="A23" s="64" t="n">
        <x:v>9</x:v>
      </x:c>
      <x:c r="B23" s="63" t="str">
        <x:v>@goldenlead.mktautomotivo</x:v>
      </x:c>
      <x:c r="C23" s="63" t="str">
        <x:v>GoldenLEAD - Marketing Automotivo</x:v>
      </x:c>
      <x:c r="D23" s="63" t="str">
        <x:v>Marketing / geração de demanda</x:v>
      </x:c>
      <x:c r="E23" s="64" t="n">
        <x:v>94</x:v>
      </x:c>
      <x:c r="F23" s="64" t="str">
        <x:v>Ativo ≤30d</x:v>
      </x:c>
      <x:c r="G23" s="64" t="n">
        <x:v>27</x:v>
      </x:c>
      <x:c r="H23" s="63" t="str">
        <x:v>Sim — coleta</x:v>
      </x:c>
      <x:c r="I23" s="63" t="str">
        <x:v>Baixo</x:v>
      </x:c>
      <x:c r="J23" s="63" t="str">
        <x:v>Alta aderência ao ICP e audiência profissional próxima de concessionárias.</x:v>
      </x:c>
    </x:row>
    <x:row r="24">
      <x:c r="A24" s="64" t="n">
        <x:v>10</x:v>
      </x:c>
      <x:c r="B24" s="63" t="str">
        <x:v>@johnnathafelipe</x:v>
      </x:c>
      <x:c r="C24" s="63" t="str">
        <x:v>Johnnatha Felipe | Gerente BMW Motorrad</x:v>
      </x:c>
      <x:c r="D24" s="63" t="str">
        <x:v>Pessoa / executivo automotivo</x:v>
      </x:c>
      <x:c r="E24" s="64" t="n">
        <x:v>94</x:v>
      </x:c>
      <x:c r="F24" s="64" t="str">
        <x:v>Ativo ≤30d</x:v>
      </x:c>
      <x:c r="G24" s="64" t="n">
        <x:v>21</x:v>
      </x:c>
      <x:c r="H24" s="63" t="str">
        <x:v>Sim — coleta</x:v>
      </x:c>
      <x:c r="I24" s="63" t="str">
        <x:v>Baixo</x:v>
      </x:c>
      <x:c r="J24" s="63" t="str">
        <x:v>Cargo e conteúdo indicam atuação direta em gestão/operação de concessionárias.</x:v>
      </x:c>
    </x:row>
    <x:row r="25">
      <x:c r="A25" s="64" t="n">
        <x:v>11</x:v>
      </x:c>
      <x:c r="B25" s="63" t="str">
        <x:v>@autoavaliar</x:v>
      </x:c>
      <x:c r="C25" s="63" t="str">
        <x:v>Auto Avaliar, acelerando o seu negócio</x:v>
      </x:c>
      <x:c r="D25" s="63" t="str">
        <x:v>Tecnologia / serviço B2B</x:v>
      </x:c>
      <x:c r="E25" s="64" t="n">
        <x:v>94</x:v>
      </x:c>
      <x:c r="F25" s="64" t="str">
        <x:v>Ativo ≤30d</x:v>
      </x:c>
      <x:c r="G25" s="64" t="n">
        <x:v>11</x:v>
      </x:c>
      <x:c r="H25" s="63" t="str">
        <x:v>Sim — coleta</x:v>
      </x:c>
      <x:c r="I25" s="63" t="str">
        <x:v>Baixo</x:v>
      </x:c>
      <x:c r="J25" s="63" t="str">
        <x:v>Solução voltada ao ecossistema automotivo; seguidores tendem a incluir gestores e operadores.</x:v>
      </x:c>
    </x:row>
    <x:row r="26">
      <x:c r="A26" s="64" t="n">
        <x:v>12</x:v>
      </x:c>
      <x:c r="B26" s="63" t="str">
        <x:v>@mobato.oficial</x:v>
      </x:c>
      <x:c r="C26" s="63" t="str">
        <x:v>MOBATO</x:v>
      </x:c>
      <x:c r="D26" s="63" t="str">
        <x:v>Tecnologia / serviço B2B</x:v>
      </x:c>
      <x:c r="E26" s="64" t="n">
        <x:v>91</x:v>
      </x:c>
      <x:c r="F26" s="64" t="str">
        <x:v>Ativo ≤30d</x:v>
      </x:c>
      <x:c r="G26" s="64" t="n">
        <x:v>13</x:v>
      </x:c>
      <x:c r="H26" s="63" t="str">
        <x:v>Sim — coleta</x:v>
      </x:c>
      <x:c r="I26" s="63" t="str">
        <x:v>Baixo</x:v>
      </x:c>
      <x:c r="J26" s="63" t="str">
        <x:v>Solução voltada ao ecossistema automotivo; seguidores tendem a incluir gestores e operadores.</x:v>
      </x:c>
    </x:row>
    <x:row r="27">
      <x:c r="A27" s="64" t="n">
        <x:v>13</x:v>
      </x:c>
      <x:c r="B27" s="63" t="str">
        <x:v>@euvicmaia</x:v>
      </x:c>
      <x:c r="C27" s="63" t="str">
        <x:v>Victoria Maia | Especialista em Marketing para Concessionárias</x:v>
      </x:c>
      <x:c r="D27" s="63" t="str">
        <x:v>Marketing / geração de demanda</x:v>
      </x:c>
      <x:c r="E27" s="64" t="n">
        <x:v>91</x:v>
      </x:c>
      <x:c r="F27" s="64" t="str">
        <x:v>Ativo ≤30d</x:v>
      </x:c>
      <x:c r="G27" s="64" t="n">
        <x:v>12</x:v>
      </x:c>
      <x:c r="H27" s="63" t="str">
        <x:v>Sim — coleta</x:v>
      </x:c>
      <x:c r="I27" s="63" t="str">
        <x:v>Baixo</x:v>
      </x:c>
      <x:c r="J27" s="63" t="str">
        <x:v>Alta aderência ao ICP e audiência profissional próxima de concessionárias.</x:v>
      </x:c>
    </x:row>
    <x:row r="28">
      <x:c r="A28" s="64" t="n">
        <x:v>14</x:v>
      </x:c>
      <x:c r="B28" s="63" t="str">
        <x:v>@fenabravebr</x:v>
      </x:c>
      <x:c r="C28" s="63" t="str">
        <x:v>Fenabrave</x:v>
      </x:c>
      <x:c r="D28" s="63" t="str">
        <x:v>Associação / entidade</x:v>
      </x:c>
      <x:c r="E28" s="64" t="n">
        <x:v>91</x:v>
      </x:c>
      <x:c r="F28" s="64" t="str">
        <x:v>Ativo ≤30d</x:v>
      </x:c>
      <x:c r="G28" s="64" t="n">
        <x:v>11</x:v>
      </x:c>
      <x:c r="H28" s="63" t="str">
        <x:v>Sim — coleta</x:v>
      </x:c>
      <x:c r="I28" s="63" t="str">
        <x:v>Baixo</x:v>
      </x:c>
      <x:c r="J28" s="63" t="str">
        <x:v>Concentra concessionários e gestores; boa fonte de eventos, dirigentes e comentários profissionais.</x:v>
      </x:c>
    </x:row>
    <x:row r="29">
      <x:c r="A29" s="64" t="n">
        <x:v>15</x:v>
      </x:c>
      <x:c r="B29" s="63" t="str">
        <x:v>@sincodivrs</x:v>
      </x:c>
      <x:c r="C29" s="63" t="str">
        <x:v>SINCODIV-RS</x:v>
      </x:c>
      <x:c r="D29" s="63" t="str">
        <x:v>Associação / entidade</x:v>
      </x:c>
      <x:c r="E29" s="64" t="n">
        <x:v>91</x:v>
      </x:c>
      <x:c r="F29" s="64" t="str">
        <x:v>Ativo ≤30d</x:v>
      </x:c>
      <x:c r="G29" s="64" t="n">
        <x:v>11</x:v>
      </x:c>
      <x:c r="H29" s="63" t="str">
        <x:v>Sim — coleta</x:v>
      </x:c>
      <x:c r="I29" s="63" t="str">
        <x:v>Baixo</x:v>
      </x:c>
      <x:c r="J29" s="63" t="str">
        <x:v>Concentra concessionários e gestores; boa fonte de eventos, dirigentes e comentários profissionais.</x:v>
      </x:c>
    </x:row>
  </x:sheetData>
  <x:mergeCells>
    <x:mergeCell ref="A1:J1"/>
    <x:mergeCell ref="A2:J2"/>
    <x:mergeCell ref="A4:B4"/>
    <x:mergeCell ref="A5:B6"/>
    <x:mergeCell ref="D4:E4"/>
    <x:mergeCell ref="D5:E6"/>
    <x:mergeCell ref="G4:H4"/>
    <x:mergeCell ref="G5:H6"/>
    <x:mergeCell ref="I4:J4"/>
    <x:mergeCell ref="I5:J6"/>
    <x:mergeCell ref="A8:J8"/>
    <x:mergeCell ref="A9:J11"/>
    <x:mergeCell ref="A13:J13"/>
  </x:mergeCells>
  <x:conditionalFormatting sqref="A15:J29">
    <x:cfRule type="expression" dxfId="0" priority="1">
      <x:formula>MOD(ROW(),2)=1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2213F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7" hidden="0" customWidth="1"/>
    <x:col min="2" max="2" width="10" hidden="0" customWidth="1"/>
    <x:col min="3" max="3" width="23" hidden="0" customWidth="1"/>
    <x:col min="4" max="4" width="8" hidden="0" customWidth="1"/>
    <x:col min="5" max="5" width="25" hidden="0" customWidth="1"/>
    <x:col min="6" max="6" width="27" hidden="0" customWidth="1"/>
    <x:col min="7" max="7" width="24" hidden="0" customWidth="1"/>
    <x:col min="8" max="8" width="38" hidden="0" customWidth="1"/>
    <x:col min="9" max="9" width="48" hidden="0" customWidth="1"/>
    <x:col min="10" max="10" width="12" hidden="0" customWidth="1"/>
    <x:col min="11" max="11" width="12" hidden="0" customWidth="1"/>
    <x:col min="12" max="12" width="14" hidden="0" customWidth="1"/>
    <x:col min="13" max="13" width="11" hidden="0" customWidth="1"/>
    <x:col min="14" max="14" width="15" hidden="0" customWidth="1"/>
    <x:col min="15" max="15" width="18" hidden="0" customWidth="1"/>
    <x:col min="16" max="16" width="18" hidden="0" customWidth="1"/>
    <x:col min="17" max="17" width="19" hidden="0" customWidth="1"/>
    <x:col min="18" max="18" width="15" hidden="0" customWidth="1"/>
    <x:col min="19" max="19" width="34" hidden="0" customWidth="1"/>
    <x:col min="20" max="20" width="14" hidden="0" customWidth="1"/>
    <x:col min="21" max="21" width="46" hidden="0" customWidth="1"/>
    <x:col min="22" max="22" width="24" hidden="0" customWidth="1"/>
    <x:col min="23" max="23" width="13" hidden="0" customWidth="1"/>
  </x:cols>
  <x:sheetData>
    <x:row r="1" ht="32" customHeight="1">
      <x:c r="A1" s="66" t="str">
        <x:v>Mapa de 100 influenciadores e fontes automotivas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</x:row>
    <x:row r="2">
      <x:c r="A2" s="67" t="str">
        <x:v>Perfis localizados e validados via Apify Instagram Scraper. Priorização considera aderência ao ICP Patagon AI, atividade recente e potencial de comentários profissionais.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</x:row>
    <x:row r="4">
      <x:c r="A4" s="68" t="str">
        <x:v>LEGENDA DE PRIORIDADE</x:v>
      </x:c>
      <x:c r="B4" s="68"/>
      <x:c r="C4" s="68"/>
    </x:row>
    <x:row r="5">
      <x:c r="A5" s="71" t="str">
        <x:v>A</x:v>
      </x:c>
      <x:c r="B5" s="79" t="str">
        <x:v>Alta aderência — começar por aqui</x:v>
      </x:c>
      <x:c r="C5" s="79"/>
    </x:row>
    <x:row r="6">
      <x:c r="A6" s="74" t="str">
        <x:v>B</x:v>
      </x:c>
      <x:c r="B6" s="79" t="str">
        <x:v>Teste controlado e validação manual</x:v>
      </x:c>
      <x:c r="C6" s="79"/>
    </x:row>
    <x:row r="7">
      <x:c r="A7" s="77" t="str">
        <x:v>C</x:v>
      </x:c>
      <x:c r="B7" s="79" t="str">
        <x:v>Radar — maior risco de audiência consumidora</x:v>
      </x:c>
      <x:c r="C7" s="79"/>
    </x:row>
    <x:row r="9" ht="36" customHeight="1">
      <x:c r="A9" s="82" t="str">
        <x:v>Rank</x:v>
      </x:c>
      <x:c r="B9" s="82" t="str">
        <x:v>Prioridade</x:v>
      </x:c>
      <x:c r="C9" s="82" t="str">
        <x:v>Uso na coleta</x:v>
      </x:c>
      <x:c r="D9" s="82" t="str">
        <x:v>Score</x:v>
      </x:c>
      <x:c r="E9" s="82" t="str">
        <x:v>Tipo de fonte</x:v>
      </x:c>
      <x:c r="F9" s="82" t="str">
        <x:v>Nome</x:v>
      </x:c>
      <x:c r="G9" s="82" t="str">
        <x:v>Usuário</x:v>
      </x:c>
      <x:c r="H9" s="82" t="str">
        <x:v>URL do perfil</x:v>
      </x:c>
      <x:c r="I9" s="82" t="str">
        <x:v>Foco / bio</x:v>
      </x:c>
      <x:c r="J9" s="82" t="str">
        <x:v>Seguidores</x:v>
      </x:c>
      <x:c r="K9" s="82" t="str">
        <x:v>Publicações</x:v>
      </x:c>
      <x:c r="L9" s="82" t="str">
        <x:v>Conta comercial</x:v>
      </x:c>
      <x:c r="M9" s="82" t="str">
        <x:v>Verificado</x:v>
      </x:c>
      <x:c r="N9" s="82" t="str">
        <x:v>Última publicação</x:v>
      </x:c>
      <x:c r="O9" s="82" t="str">
        <x:v>Status de atividade</x:v>
      </x:c>
      <x:c r="P9" s="82" t="str">
        <x:v>Máx. comentários (12)</x:v>
      </x:c>
      <x:c r="Q9" s="82" t="str">
        <x:v>Média comentários (12)</x:v>
      </x:c>
      <x:c r="R9" s="82" t="str">
        <x:v>Aderência ao ICP</x:v>
      </x:c>
      <x:c r="S9" s="82" t="str">
        <x:v>Público provável</x:v>
      </x:c>
      <x:c r="T9" s="82" t="str">
        <x:v>Risco de ruído</x:v>
      </x:c>
      <x:c r="U9" s="82" t="str">
        <x:v>Motivo da priorização</x:v>
      </x:c>
      <x:c r="V9" s="82" t="str">
        <x:v>Fonte</x:v>
      </x:c>
      <x:c r="W9" s="82" t="str">
        <x:v>Coletado em</x:v>
      </x:c>
    </x:row>
    <x:row r="10">
      <x:c r="A10" s="64" t="n">
        <x:v>1</x:v>
      </x:c>
      <x:c r="B10" s="64" t="str">
        <x:v>A</x:v>
      </x:c>
      <x:c r="C10" s="64" t="str">
        <x:v>Sim — coleta</x:v>
      </x:c>
      <x:c r="D10" s="64" t="n">
        <x:v>97</x:v>
      </x:c>
      <x:c r="E10" s="63" t="str">
        <x:v>Educação / consultoria</x:v>
      </x:c>
      <x:c r="F10" s="63" t="str">
        <x:v>Wagner Cavalcante | Acelerador de Negócios</x:v>
      </x:c>
      <x:c r="G10" s="63" t="str">
        <x:v>@wagnercavalcantee</x:v>
      </x:c>
      <x:c r="H10" s="63" t="str">
        <x:v>https://www.instagram.com/wagnercavalcantee</x:v>
      </x:c>
      <x:c r="I10" s="63" t="str">
        <x:v>Mentor e estrategista de líderes automotivos. Atuei no crescimento de + de 2.000 lojas de carros pelo Brasil 🇧🇷 📊 Fundador da GWC</x:v>
      </x:c>
      <x:c r="J10" s="83" t="n">
        <x:v>92709</x:v>
      </x:c>
      <x:c r="K10" s="83" t="n">
        <x:v>1175</x:v>
      </x:c>
      <x:c r="L10" s="64" t="str">
        <x:v>Não</x:v>
      </x:c>
      <x:c r="M10" s="64" t="str">
        <x:v>Sim</x:v>
      </x:c>
      <x:c r="N10" s="64" t="str">
        <x:v>2026-10-02</x:v>
      </x:c>
      <x:c r="O10" s="64" t="str">
        <x:v>Ativo ≤30d</x:v>
      </x:c>
      <x:c r="P10" s="83" t="n">
        <x:v>50</x:v>
      </x:c>
      <x:c r="Q10" s="84" t="n">
        <x:v>13</x:v>
      </x:c>
      <x:c r="R10" s="64" t="str">
        <x:v>Alta</x:v>
      </x:c>
      <x:c r="S10" s="63" t="str">
        <x:v>Donos, líderes e equipes de concessionárias e varejo automotivo</x:v>
      </x:c>
      <x:c r="T10" s="63" t="str">
        <x:v>Baixo</x:v>
      </x:c>
      <x:c r="U10" s="63" t="str">
        <x:v>Alta aderência ao ICP e audiência profissional próxima de concessionárias.</x:v>
      </x:c>
      <x:c r="V10" s="63" t="str">
        <x:v>Apify · Instagram Scraper</x:v>
      </x:c>
      <x:c r="W10" s="63" t="str">
        <x:v>2026-10-07</x:v>
      </x:c>
    </x:row>
    <x:row r="11">
      <x:c r="A11" s="64" t="n">
        <x:v>2</x:v>
      </x:c>
      <x:c r="B11" s="64" t="str">
        <x:v>A</x:v>
      </x:c>
      <x:c r="C11" s="64" t="str">
        <x:v>Sim — coleta</x:v>
      </x:c>
      <x:c r="D11" s="64" t="n">
        <x:v>97</x:v>
      </x:c>
      <x:c r="E11" s="63" t="str">
        <x:v>Pessoa / executivo automotivo</x:v>
      </x:c>
      <x:c r="F11" s="63" t="str">
        <x:v>J. R. Caporal</x:v>
      </x:c>
      <x:c r="G11" s="63" t="str">
        <x:v>@jrcaporal</x:v>
      </x:c>
      <x:c r="H11" s="63" t="str">
        <x:v>https://www.instagram.com/jrcaporal</x:v>
      </x:c>
      <x:c r="I11" s="63" t="str">
        <x:v>🎧🎧@thedealerspodcast 🟠⚫️President @autoavaliar 🔴⚪️CEO @megadealer</x:v>
      </x:c>
      <x:c r="J11" s="83" t="n">
        <x:v>108066</x:v>
      </x:c>
      <x:c r="K11" s="83" t="n">
        <x:v>1910</x:v>
      </x:c>
      <x:c r="L11" s="64" t="str">
        <x:v>Não</x:v>
      </x:c>
      <x:c r="M11" s="64" t="str">
        <x:v>Sim</x:v>
      </x:c>
      <x:c r="N11" s="64" t="str">
        <x:v>2026-10-07</x:v>
      </x:c>
      <x:c r="O11" s="64" t="str">
        <x:v>Ativo ≤30d</x:v>
      </x:c>
      <x:c r="P11" s="83" t="n">
        <x:v>27</x:v>
      </x:c>
      <x:c r="Q11" s="84" t="n">
        <x:v>5.2</x:v>
      </x:c>
      <x:c r="R11" s="64" t="str">
        <x:v>Alta</x:v>
      </x:c>
      <x:c r="S11" s="63" t="str">
        <x:v>Executivos, gerentes, vendedores e profissionais automotivos</x:v>
      </x:c>
      <x:c r="T11" s="63" t="str">
        <x:v>Baixo</x:v>
      </x:c>
      <x:c r="U11" s="63" t="str">
        <x:v>Cargo e conteúdo indicam atuação direta em gestão/operação de concessionárias.</x:v>
      </x:c>
      <x:c r="V11" s="63" t="str">
        <x:v>Apify · Instagram Scraper</x:v>
      </x:c>
      <x:c r="W11" s="63" t="str">
        <x:v>2026-10-07</x:v>
      </x:c>
    </x:row>
    <x:row r="12">
      <x:c r="A12" s="64" t="n">
        <x:v>3</x:v>
      </x:c>
      <x:c r="B12" s="64" t="str">
        <x:v>A</x:v>
      </x:c>
      <x:c r="C12" s="64" t="str">
        <x:v>Sim — coleta</x:v>
      </x:c>
      <x:c r="D12" s="64" t="n">
        <x:v>94</x:v>
      </x:c>
      <x:c r="E12" s="63" t="str">
        <x:v>Pessoa / executivo automotivo</x:v>
      </x:c>
      <x:c r="F12" s="63" t="str">
        <x:v>Bruno Bettéro</x:v>
      </x:c>
      <x:c r="G12" s="63" t="str">
        <x:v>@brunobettero</x:v>
      </x:c>
      <x:c r="H12" s="63" t="str">
        <x:v>https://www.instagram.com/brunobettero</x:v>
      </x:c>
      <x:c r="I12" s="63" t="str">
        <x:v>🏍️ Gestor de Concessionária 📈 Performance Comercial 🎓 MBAs: FGV • PUC/RS • ESPM Bastidores + estratégia + execução Formação contínua</x:v>
      </x:c>
      <x:c r="J12" s="83" t="n">
        <x:v>2054</x:v>
      </x:c>
      <x:c r="K12" s="83" t="n">
        <x:v>20</x:v>
      </x:c>
      <x:c r="L12" s="64" t="str">
        <x:v>Sim</x:v>
      </x:c>
      <x:c r="M12" s="64" t="str">
        <x:v>Não</x:v>
      </x:c>
      <x:c r="N12" s="64" t="str">
        <x:v>2026-10-02</x:v>
      </x:c>
      <x:c r="O12" s="64" t="str">
        <x:v>Ativo ≤30d</x:v>
      </x:c>
      <x:c r="P12" s="83" t="n">
        <x:v>73</x:v>
      </x:c>
      <x:c r="Q12" s="84" t="n">
        <x:v>20.2</x:v>
      </x:c>
      <x:c r="R12" s="64" t="str">
        <x:v>Alta</x:v>
      </x:c>
      <x:c r="S12" s="63" t="str">
        <x:v>Executivos, gerentes, vendedores e profissionais automotivos</x:v>
      </x:c>
      <x:c r="T12" s="63" t="str">
        <x:v>Baixo</x:v>
      </x:c>
      <x:c r="U12" s="63" t="str">
        <x:v>Cargo e conteúdo indicam atuação direta em gestão/operação de concessionárias.</x:v>
      </x:c>
      <x:c r="V12" s="63" t="str">
        <x:v>Apify · Instagram Scraper</x:v>
      </x:c>
      <x:c r="W12" s="63" t="str">
        <x:v>2026-10-07</x:v>
      </x:c>
    </x:row>
    <x:row r="13">
      <x:c r="A13" s="64" t="n">
        <x:v>4</x:v>
      </x:c>
      <x:c r="B13" s="64" t="str">
        <x:v>A</x:v>
      </x:c>
      <x:c r="C13" s="64" t="str">
        <x:v>Sim — coleta</x:v>
      </x:c>
      <x:c r="D13" s="64" t="n">
        <x:v>94</x:v>
      </x:c>
      <x:c r="E13" s="63" t="str">
        <x:v>Pessoa / executivo automotivo</x:v>
      </x:c>
      <x:c r="F13" s="63" t="str">
        <x:v>Shay Leapmotor</x:v>
      </x:c>
      <x:c r="G13" s="63" t="str">
        <x:v>@shay_leapmotor</x:v>
      </x:c>
      <x:c r="H13" s="63" t="str">
        <x:v>https://www.instagram.com/shay_leapmotor</x:v>
      </x:c>
      <x:c r="I13" s="63" t="str">
        <x:v>Gestão, liderança e paixão por grandes resultados!! Gerente de Vendas Leapmotor</x:v>
      </x:c>
      <x:c r="J13" s="83" t="n">
        <x:v>1874</x:v>
      </x:c>
      <x:c r="K13" s="83" t="n">
        <x:v>27</x:v>
      </x:c>
      <x:c r="L13" s="64" t="str">
        <x:v>Não</x:v>
      </x:c>
      <x:c r="M13" s="64" t="str">
        <x:v>Não</x:v>
      </x:c>
      <x:c r="N13" s="64" t="str">
        <x:v>2026-09-16</x:v>
      </x:c>
      <x:c r="O13" s="64" t="str">
        <x:v>Ativo ≤30d</x:v>
      </x:c>
      <x:c r="P13" s="83" t="n">
        <x:v>61</x:v>
      </x:c>
      <x:c r="Q13" s="84" t="n">
        <x:v>6.1</x:v>
      </x:c>
      <x:c r="R13" s="64" t="str">
        <x:v>Alta</x:v>
      </x:c>
      <x:c r="S13" s="63" t="str">
        <x:v>Executivos, gerentes, vendedores e profissionais automotivos</x:v>
      </x:c>
      <x:c r="T13" s="63" t="str">
        <x:v>Baixo</x:v>
      </x:c>
      <x:c r="U13" s="63" t="str">
        <x:v>Cargo e conteúdo indicam atuação direta em gestão/operação de concessionárias.</x:v>
      </x:c>
      <x:c r="V13" s="63" t="str">
        <x:v>Apify · Instagram Scraper</x:v>
      </x:c>
      <x:c r="W13" s="63" t="str">
        <x:v>2026-10-07</x:v>
      </x:c>
    </x:row>
    <x:row r="14">
      <x:c r="A14" s="64" t="n">
        <x:v>5</x:v>
      </x:c>
      <x:c r="B14" s="64" t="str">
        <x:v>A</x:v>
      </x:c>
      <x:c r="C14" s="64" t="str">
        <x:v>Sim — coleta</x:v>
      </x:c>
      <x:c r="D14" s="64" t="n">
        <x:v>94</x:v>
      </x:c>
      <x:c r="E14" s="63" t="str">
        <x:v>Pessoa / executivo automotivo</x:v>
      </x:c>
      <x:c r="F14" s="63" t="str">
        <x:v>Jackson Bobbio | Executivo de Operações</x:v>
      </x:c>
      <x:c r="G14" s="63" t="str">
        <x:v>@bobbio_jackson</x:v>
      </x:c>
      <x:c r="H14" s="63" t="str">
        <x:v>https://www.instagram.com/bobbio_jackson</x:v>
      </x:c>
      <x:c r="I14" s="63" t="str">
        <x:v>⚡ Diretor Comercial | Operações 📈 +30 anos gerando crescimento e resultados 🚛 Agro • Veículos Pesados • Indústria 🔗 LinkedIn ↓</x:v>
      </x:c>
      <x:c r="J14" s="83" t="n">
        <x:v>4345</x:v>
      </x:c>
      <x:c r="K14" s="83" t="n">
        <x:v>46</x:v>
      </x:c>
      <x:c r="L14" s="64" t="str">
        <x:v>Sim</x:v>
      </x:c>
      <x:c r="M14" s="64" t="str">
        <x:v>Sim</x:v>
      </x:c>
      <x:c r="N14" s="64" t="str">
        <x:v>2026-09-24</x:v>
      </x:c>
      <x:c r="O14" s="64" t="str">
        <x:v>Ativo ≤30d</x:v>
      </x:c>
      <x:c r="P14" s="83" t="n">
        <x:v>53</x:v>
      </x:c>
      <x:c r="Q14" s="84" t="n">
        <x:v>8.3</x:v>
      </x:c>
      <x:c r="R14" s="64" t="str">
        <x:v>Alta</x:v>
      </x:c>
      <x:c r="S14" s="63" t="str">
        <x:v>Executivos, gerentes, vendedores e profissionais automotivos</x:v>
      </x:c>
      <x:c r="T14" s="63" t="str">
        <x:v>Baixo</x:v>
      </x:c>
      <x:c r="U14" s="63" t="str">
        <x:v>Cargo e conteúdo indicam atuação direta em gestão/operação de concessionárias.</x:v>
      </x:c>
      <x:c r="V14" s="63" t="str">
        <x:v>Apify · Instagram Scraper</x:v>
      </x:c>
      <x:c r="W14" s="63" t="str">
        <x:v>2026-10-07</x:v>
      </x:c>
    </x:row>
    <x:row r="15">
      <x:c r="A15" s="64" t="n">
        <x:v>6</x:v>
      </x:c>
      <x:c r="B15" s="64" t="str">
        <x:v>A</x:v>
      </x:c>
      <x:c r="C15" s="64" t="str">
        <x:v>Sim — coleta</x:v>
      </x:c>
      <x:c r="D15" s="64" t="n">
        <x:v>94</x:v>
      </x:c>
      <x:c r="E15" s="63" t="str">
        <x:v>Associação / entidade</x:v>
      </x:c>
      <x:c r="F15" s="63" t="str">
        <x:v>SINCODIV Mato Grosso</x:v>
      </x:c>
      <x:c r="G15" s="63" t="str">
        <x:v>@regionalfenabravemt</x:v>
      </x:c>
      <x:c r="H15" s="63" t="str">
        <x:v>https://www.instagram.com/regionalfenabravemt</x:v>
      </x:c>
      <x:c r="I15" s="63" t="str">
        <x:v>🔹️Regional MT-Federação Nacional da Distribuição de Veículos Automotores 🔹️Sindicato dos Concessionários e Distribuidores de Veículos de Mato Grosso</x:v>
      </x:c>
      <x:c r="J15" s="83" t="n">
        <x:v>1597</x:v>
      </x:c>
      <x:c r="K15" s="83" t="n">
        <x:v>944</x:v>
      </x:c>
      <x:c r="L15" s="64" t="str">
        <x:v>Sim</x:v>
      </x:c>
      <x:c r="M15" s="64" t="str">
        <x:v>Não</x:v>
      </x:c>
      <x:c r="N15" s="64" t="str">
        <x:v>2026-10-05</x:v>
      </x:c>
      <x:c r="O15" s="64" t="str">
        <x:v>Ativo ≤30d</x:v>
      </x:c>
      <x:c r="P15" s="83" t="n">
        <x:v>50</x:v>
      </x:c>
      <x:c r="Q15" s="84" t="n">
        <x:v>4.2</x:v>
      </x:c>
      <x:c r="R15" s="64" t="str">
        <x:v>Alta</x:v>
      </x:c>
      <x:c r="S15" s="63" t="str">
        <x:v>Concessionários, distribuidores, dirigentes e gestores</x:v>
      </x:c>
      <x:c r="T15" s="63" t="str">
        <x:v>Baixo</x:v>
      </x:c>
      <x:c r="U15" s="63" t="str">
        <x:v>Concentra concessionários e gestores; boa fonte de eventos, dirigentes e comentários profissionais.</x:v>
      </x:c>
      <x:c r="V15" s="63" t="str">
        <x:v>Apify · Instagram Scraper</x:v>
      </x:c>
      <x:c r="W15" s="63" t="str">
        <x:v>2026-10-07</x:v>
      </x:c>
    </x:row>
    <x:row r="16">
      <x:c r="A16" s="64" t="n">
        <x:v>7</x:v>
      </x:c>
      <x:c r="B16" s="64" t="str">
        <x:v>A</x:v>
      </x:c>
      <x:c r="C16" s="64" t="str">
        <x:v>Sim — coleta</x:v>
      </x:c>
      <x:c r="D16" s="64" t="n">
        <x:v>94</x:v>
      </x:c>
      <x:c r="E16" s="63" t="str">
        <x:v>Mídia / podcast</x:v>
      </x:c>
      <x:c r="F16" s="63" t="str">
        <x:v>THE DEALERS</x:v>
      </x:c>
      <x:c r="G16" s="63" t="str">
        <x:v>@thedealerspodcast</x:v>
      </x:c>
      <x:c r="H16" s="63" t="str">
        <x:v>https://www.instagram.com/thedealerspodcast</x:v>
      </x:c>
      <x:c r="I16" s="63" t="str">
        <x:v>O Podcast da Distribuição de Veículos. Toda terça-feira às 18 horas um novo episódio no YouTube e no Spotify @autoavaliar @jrcaporal</x:v>
      </x:c>
      <x:c r="J16" s="83" t="n">
        <x:v>9277</x:v>
      </x:c>
      <x:c r="K16" s="83" t="n">
        <x:v>731</x:v>
      </x:c>
      <x:c r="L16" s="64" t="str">
        <x:v>Sim</x:v>
      </x:c>
      <x:c r="M16" s="64" t="str">
        <x:v>Não</x:v>
      </x:c>
      <x:c r="N16" s="64" t="str">
        <x:v>2026-10-07</x:v>
      </x:c>
      <x:c r="O16" s="64" t="str">
        <x:v>Ativo ≤30d</x:v>
      </x:c>
      <x:c r="P16" s="83" t="n">
        <x:v>44</x:v>
      </x:c>
      <x:c r="Q16" s="84" t="n">
        <x:v>5.8</x:v>
      </x:c>
      <x:c r="R16" s="64" t="str">
        <x:v>Alta</x:v>
      </x:c>
      <x:c r="S16" s="63" t="str">
        <x:v>Executivos, gestores e profissionais do setor automotivo</x:v>
      </x:c>
      <x:c r="T16" s="63" t="str">
        <x:v>Médio</x:v>
      </x:c>
      <x:c r="U16" s="63" t="str">
        <x:v>Alta aderência ao ICP e audiência profissional próxima de concessionárias.</x:v>
      </x:c>
      <x:c r="V16" s="63" t="str">
        <x:v>Apify · Instagram Scraper</x:v>
      </x:c>
      <x:c r="W16" s="63" t="str">
        <x:v>2026-10-07</x:v>
      </x:c>
    </x:row>
    <x:row r="17">
      <x:c r="A17" s="64" t="n">
        <x:v>8</x:v>
      </x:c>
      <x:c r="B17" s="64" t="str">
        <x:v>A</x:v>
      </x:c>
      <x:c r="C17" s="64" t="str">
        <x:v>Sim — coleta</x:v>
      </x:c>
      <x:c r="D17" s="64" t="n">
        <x:v>94</x:v>
      </x:c>
      <x:c r="E17" s="63" t="str">
        <x:v>Tecnologia / serviço B2B</x:v>
      </x:c>
      <x:c r="F17" s="63" t="str">
        <x:v>Sances</x:v>
      </x:c>
      <x:c r="G17" s="63" t="str">
        <x:v>@sances_dms</x:v>
      </x:c>
      <x:c r="H17" s="63" t="str">
        <x:v>https://www.instagram.com/sances_dms</x:v>
      </x:c>
      <x:c r="I17" s="63" t="str">
        <x:v>A Gestão do Ecossistema Automotivo nunca foi tão fácil!</x:v>
      </x:c>
      <x:c r="J17" s="83" t="n">
        <x:v>389</x:v>
      </x:c>
      <x:c r="K17" s="83" t="n">
        <x:v>45</x:v>
      </x:c>
      <x:c r="L17" s="64" t="str">
        <x:v>Sim</x:v>
      </x:c>
      <x:c r="M17" s="64" t="str">
        <x:v>Não</x:v>
      </x:c>
      <x:c r="N17" s="64" t="str">
        <x:v>2026-10-02</x:v>
      </x:c>
      <x:c r="O17" s="64" t="str">
        <x:v>Ativo ≤30d</x:v>
      </x:c>
      <x:c r="P17" s="83" t="n">
        <x:v>38</x:v>
      </x:c>
      <x:c r="Q17" s="84" t="n">
        <x:v>5.7</x:v>
      </x:c>
      <x:c r="R17" s="64" t="str">
        <x:v>Alta</x:v>
      </x:c>
      <x:c r="S17" s="63" t="str">
        <x:v>Gestão, operações, CRM/BDC, marketing e vendas automotivas</x:v>
      </x:c>
      <x:c r="T17" s="63" t="str">
        <x:v>Baixo</x:v>
      </x:c>
      <x:c r="U17" s="63" t="str">
        <x:v>Solução voltada ao ecossistema automotivo; seguidores tendem a incluir gestores e operadores.</x:v>
      </x:c>
      <x:c r="V17" s="63" t="str">
        <x:v>Apify · Instagram Scraper</x:v>
      </x:c>
      <x:c r="W17" s="63" t="str">
        <x:v>2026-10-07</x:v>
      </x:c>
    </x:row>
    <x:row r="18">
      <x:c r="A18" s="64" t="n">
        <x:v>9</x:v>
      </x:c>
      <x:c r="B18" s="64" t="str">
        <x:v>A</x:v>
      </x:c>
      <x:c r="C18" s="64" t="str">
        <x:v>Sim — coleta</x:v>
      </x:c>
      <x:c r="D18" s="64" t="n">
        <x:v>94</x:v>
      </x:c>
      <x:c r="E18" s="63" t="str">
        <x:v>Marketing / geração de demanda</x:v>
      </x:c>
      <x:c r="F18" s="63" t="str">
        <x:v>GoldenLEAD - Marketing Automotivo</x:v>
      </x:c>
      <x:c r="G18" s="63" t="str">
        <x:v>@goldenlead.mktautomotivo</x:v>
      </x:c>
      <x:c r="H18" s="63" t="str">
        <x:v>https://www.instagram.com/goldenlead.mktautomotivo</x:v>
      </x:c>
      <x:c r="I18" s="63" t="str">
        <x:v>🚗 Sua Loja de Veículos vendendo todos os dias pela internet 🚀 Especializada em Tráfego Pago 🇧🇷 +100 Lojas pelo Brasil Agende uma reunião agora mesmo👇</x:v>
      </x:c>
      <x:c r="J18" s="83" t="n">
        <x:v>5603</x:v>
      </x:c>
      <x:c r="K18" s="83" t="n">
        <x:v>93</x:v>
      </x:c>
      <x:c r="L18" s="64" t="str">
        <x:v>Sim</x:v>
      </x:c>
      <x:c r="M18" s="64" t="str">
        <x:v>Sim</x:v>
      </x:c>
      <x:c r="N18" s="64" t="str">
        <x:v>2026-09-25</x:v>
      </x:c>
      <x:c r="O18" s="64" t="str">
        <x:v>Ativo ≤30d</x:v>
      </x:c>
      <x:c r="P18" s="83" t="n">
        <x:v>27</x:v>
      </x:c>
      <x:c r="Q18" s="84" t="n">
        <x:v>3.8</x:v>
      </x:c>
      <x:c r="R18" s="64" t="str">
        <x:v>Alta</x:v>
      </x:c>
      <x:c r="S18" s="63" t="str">
        <x:v>Lojistas, concessionárias, vendedores e gestores comerciais</x:v>
      </x:c>
      <x:c r="T18" s="63" t="str">
        <x:v>Baixo</x:v>
      </x:c>
      <x:c r="U18" s="63" t="str">
        <x:v>Alta aderência ao ICP e audiência profissional próxima de concessionárias.</x:v>
      </x:c>
      <x:c r="V18" s="63" t="str">
        <x:v>Apify · Instagram Scraper</x:v>
      </x:c>
      <x:c r="W18" s="63" t="str">
        <x:v>2026-10-07</x:v>
      </x:c>
    </x:row>
    <x:row r="19">
      <x:c r="A19" s="64" t="n">
        <x:v>10</x:v>
      </x:c>
      <x:c r="B19" s="64" t="str">
        <x:v>A</x:v>
      </x:c>
      <x:c r="C19" s="64" t="str">
        <x:v>Sim — coleta</x:v>
      </x:c>
      <x:c r="D19" s="64" t="n">
        <x:v>94</x:v>
      </x:c>
      <x:c r="E19" s="63" t="str">
        <x:v>Pessoa / executivo automotivo</x:v>
      </x:c>
      <x:c r="F19" s="63" t="str">
        <x:v>Johnnatha Felipe | Gerente BMW Motorrad</x:v>
      </x:c>
      <x:c r="G19" s="63" t="str">
        <x:v>@johnnathafelipe</x:v>
      </x:c>
      <x:c r="H19" s="63" t="str">
        <x:v>https://www.instagram.com/johnnathafelipe</x:v>
      </x:c>
      <x:c r="I19" s="63" t="str">
        <x:v>Gerente de concessionária 📍Botafogo 📍Teresópolis BM Rio - BMW</x:v>
      </x:c>
      <x:c r="J19" s="83" t="n">
        <x:v>4592</x:v>
      </x:c>
      <x:c r="K19" s="83" t="n">
        <x:v>183</x:v>
      </x:c>
      <x:c r="L19" s="64" t="str">
        <x:v>Não</x:v>
      </x:c>
      <x:c r="M19" s="64" t="str">
        <x:v>Não</x:v>
      </x:c>
      <x:c r="N19" s="64" t="str">
        <x:v>2026-09-25</x:v>
      </x:c>
      <x:c r="O19" s="64" t="str">
        <x:v>Ativo ≤30d</x:v>
      </x:c>
      <x:c r="P19" s="83" t="n">
        <x:v>21</x:v>
      </x:c>
      <x:c r="Q19" s="84" t="n">
        <x:v>3.4</x:v>
      </x:c>
      <x:c r="R19" s="64" t="str">
        <x:v>Alta</x:v>
      </x:c>
      <x:c r="S19" s="63" t="str">
        <x:v>Executivos, gerentes, vendedores e profissionais automotivos</x:v>
      </x:c>
      <x:c r="T19" s="63" t="str">
        <x:v>Baixo</x:v>
      </x:c>
      <x:c r="U19" s="63" t="str">
        <x:v>Cargo e conteúdo indicam atuação direta em gestão/operação de concessionárias.</x:v>
      </x:c>
      <x:c r="V19" s="63" t="str">
        <x:v>Apify · Instagram Scraper</x:v>
      </x:c>
      <x:c r="W19" s="63" t="str">
        <x:v>2026-10-07</x:v>
      </x:c>
    </x:row>
    <x:row r="20">
      <x:c r="A20" s="64" t="n">
        <x:v>11</x:v>
      </x:c>
      <x:c r="B20" s="64" t="str">
        <x:v>A</x:v>
      </x:c>
      <x:c r="C20" s="64" t="str">
        <x:v>Sim — coleta</x:v>
      </x:c>
      <x:c r="D20" s="64" t="n">
        <x:v>94</x:v>
      </x:c>
      <x:c r="E20" s="63" t="str">
        <x:v>Tecnologia / serviço B2B</x:v>
      </x:c>
      <x:c r="F20" s="63" t="str">
        <x:v>Auto Avaliar, acelerando o seu negócio</x:v>
      </x:c>
      <x:c r="G20" s="63" t="str">
        <x:v>@autoavaliar</x:v>
      </x:c>
      <x:c r="H20" s="63" t="str">
        <x:v>https://www.instagram.com/autoavaliar</x:v>
      </x:c>
      <x:c r="I20" s="63" t="str">
        <x:v>Conectamos quem compra e vende veículos no maior marketplace B2B do Brasil. Transformando o mercado automotivo com tecnologia 🚀</x:v>
      </x:c>
      <x:c r="J20" s="83" t="n">
        <x:v>196494</x:v>
      </x:c>
      <x:c r="K20" s="83" t="n">
        <x:v>4599</x:v>
      </x:c>
      <x:c r="L20" s="64" t="str">
        <x:v>Sim</x:v>
      </x:c>
      <x:c r="M20" s="64" t="str">
        <x:v>Sim</x:v>
      </x:c>
      <x:c r="N20" s="64" t="str">
        <x:v>2026-10-07</x:v>
      </x:c>
      <x:c r="O20" s="64" t="str">
        <x:v>Ativo ≤30d</x:v>
      </x:c>
      <x:c r="P20" s="83" t="n">
        <x:v>11</x:v>
      </x:c>
      <x:c r="Q20" s="84" t="n">
        <x:v>2</x:v>
      </x:c>
      <x:c r="R20" s="64" t="str">
        <x:v>Alta</x:v>
      </x:c>
      <x:c r="S20" s="63" t="str">
        <x:v>Gestão, operações, CRM/BDC, marketing e vendas automotivas</x:v>
      </x:c>
      <x:c r="T20" s="63" t="str">
        <x:v>Baixo</x:v>
      </x:c>
      <x:c r="U20" s="63" t="str">
        <x:v>Solução voltada ao ecossistema automotivo; seguidores tendem a incluir gestores e operadores.</x:v>
      </x:c>
      <x:c r="V20" s="63" t="str">
        <x:v>Apify · Instagram Scraper</x:v>
      </x:c>
      <x:c r="W20" s="63" t="str">
        <x:v>2026-10-07</x:v>
      </x:c>
    </x:row>
    <x:row r="21">
      <x:c r="A21" s="64" t="n">
        <x:v>12</x:v>
      </x:c>
      <x:c r="B21" s="64" t="str">
        <x:v>A</x:v>
      </x:c>
      <x:c r="C21" s="64" t="str">
        <x:v>Sim — coleta</x:v>
      </x:c>
      <x:c r="D21" s="64" t="n">
        <x:v>91</x:v>
      </x:c>
      <x:c r="E21" s="63" t="str">
        <x:v>Tecnologia / serviço B2B</x:v>
      </x:c>
      <x:c r="F21" s="63" t="str">
        <x:v>MOBATO</x:v>
      </x:c>
      <x:c r="G21" s="63" t="str">
        <x:v>@mobato.oficial</x:v>
      </x:c>
      <x:c r="H21" s="63" t="str">
        <x:v>https://www.instagram.com/mobato.oficial</x:v>
      </x:c>
      <x:c r="I21" s="63" t="str">
        <x:v>Marca especialista em soluções digitais automotivas para concessionárias e montadoras, melhorando processos e a experiência do cliente. #VemSerMobato</x:v>
      </x:c>
      <x:c r="J21" s="83" t="n">
        <x:v>854</x:v>
      </x:c>
      <x:c r="K21" s="83" t="n">
        <x:v>129</x:v>
      </x:c>
      <x:c r="L21" s="64" t="str">
        <x:v>Não</x:v>
      </x:c>
      <x:c r="M21" s="64" t="str">
        <x:v>Não</x:v>
      </x:c>
      <x:c r="N21" s="64" t="str">
        <x:v>2026-10-02</x:v>
      </x:c>
      <x:c r="O21" s="64" t="str">
        <x:v>Ativo ≤30d</x:v>
      </x:c>
      <x:c r="P21" s="83" t="n">
        <x:v>13</x:v>
      </x:c>
      <x:c r="Q21" s="84" t="n">
        <x:v>2.2</x:v>
      </x:c>
      <x:c r="R21" s="64" t="str">
        <x:v>Alta</x:v>
      </x:c>
      <x:c r="S21" s="63" t="str">
        <x:v>Gestão, operações, CRM/BDC, marketing e vendas automotivas</x:v>
      </x:c>
      <x:c r="T21" s="63" t="str">
        <x:v>Baixo</x:v>
      </x:c>
      <x:c r="U21" s="63" t="str">
        <x:v>Solução voltada ao ecossistema automotivo; seguidores tendem a incluir gestores e operadores.</x:v>
      </x:c>
      <x:c r="V21" s="63" t="str">
        <x:v>Apify · Instagram Scraper</x:v>
      </x:c>
      <x:c r="W21" s="63" t="str">
        <x:v>2026-10-07</x:v>
      </x:c>
    </x:row>
    <x:row r="22">
      <x:c r="A22" s="64" t="n">
        <x:v>13</x:v>
      </x:c>
      <x:c r="B22" s="64" t="str">
        <x:v>A</x:v>
      </x:c>
      <x:c r="C22" s="64" t="str">
        <x:v>Sim — coleta</x:v>
      </x:c>
      <x:c r="D22" s="64" t="n">
        <x:v>91</x:v>
      </x:c>
      <x:c r="E22" s="63" t="str">
        <x:v>Marketing / geração de demanda</x:v>
      </x:c>
      <x:c r="F22" s="63" t="str">
        <x:v>Victoria Maia | Especialista em Marketing para Concessionárias</x:v>
      </x:c>
      <x:c r="G22" s="63" t="str">
        <x:v>@euvicmaia</x:v>
      </x:c>
      <x:c r="H22" s="63" t="str">
        <x:v>https://www.instagram.com/euvicmaia</x:v>
      </x:c>
      <x:c r="I22" s="63" t="str">
        <x:v>🥇| Ajudo sua Concessionária a vender mais com estratégias validadas 💼| Especialista em vendas no digital; 👇🏼 Agende uma reunião 👇🏼</x:v>
      </x:c>
      <x:c r="J22" s="83" t="n">
        <x:v>1749</x:v>
      </x:c>
      <x:c r="K22" s="83" t="n">
        <x:v>21</x:v>
      </x:c>
      <x:c r="L22" s="64" t="str">
        <x:v>Sim</x:v>
      </x:c>
      <x:c r="M22" s="64" t="str">
        <x:v>Não</x:v>
      </x:c>
      <x:c r="N22" s="64" t="str">
        <x:v>2026-09-20</x:v>
      </x:c>
      <x:c r="O22" s="64" t="str">
        <x:v>Ativo ≤30d</x:v>
      </x:c>
      <x:c r="P22" s="83" t="n">
        <x:v>12</x:v>
      </x:c>
      <x:c r="Q22" s="84" t="n">
        <x:v>4.8</x:v>
      </x:c>
      <x:c r="R22" s="64" t="str">
        <x:v>Alta</x:v>
      </x:c>
      <x:c r="S22" s="63" t="str">
        <x:v>Lojistas, concessionárias, vendedores e gestores comerciais</x:v>
      </x:c>
      <x:c r="T22" s="63" t="str">
        <x:v>Baixo</x:v>
      </x:c>
      <x:c r="U22" s="63" t="str">
        <x:v>Alta aderência ao ICP e audiência profissional próxima de concessionárias.</x:v>
      </x:c>
      <x:c r="V22" s="63" t="str">
        <x:v>Apify · Instagram Scraper</x:v>
      </x:c>
      <x:c r="W22" s="63" t="str">
        <x:v>2026-10-07</x:v>
      </x:c>
    </x:row>
    <x:row r="23">
      <x:c r="A23" s="64" t="n">
        <x:v>14</x:v>
      </x:c>
      <x:c r="B23" s="64" t="str">
        <x:v>A</x:v>
      </x:c>
      <x:c r="C23" s="64" t="str">
        <x:v>Sim — coleta</x:v>
      </x:c>
      <x:c r="D23" s="64" t="n">
        <x:v>91</x:v>
      </x:c>
      <x:c r="E23" s="63" t="str">
        <x:v>Associação / entidade</x:v>
      </x:c>
      <x:c r="F23" s="63" t="str">
        <x:v>Fenabrave</x:v>
      </x:c>
      <x:c r="G23" s="63" t="str">
        <x:v>@fenabravebr</x:v>
      </x:c>
      <x:c r="H23" s="63" t="str">
        <x:v>https://www.instagram.com/fenabravebr</x:v>
      </x:c>
      <x:c r="I23" s="63" t="str">
        <x:v>A Federação Nacional da Distribuição de Veículos Automotores é a 2a. maior do setor, no mundo, que gera 383 mil empregos e responde por 5,92% do PIB.</x:v>
      </x:c>
      <x:c r="J23" s="83" t="n">
        <x:v>8720</x:v>
      </x:c>
      <x:c r="K23" s="83" t="n">
        <x:v>273</x:v>
      </x:c>
      <x:c r="L23" s="64" t="str">
        <x:v>Sim</x:v>
      </x:c>
      <x:c r="M23" s="64" t="str">
        <x:v>Não</x:v>
      </x:c>
      <x:c r="N23" s="64" t="str">
        <x:v>2026-10-07</x:v>
      </x:c>
      <x:c r="O23" s="64" t="str">
        <x:v>Ativo ≤30d</x:v>
      </x:c>
      <x:c r="P23" s="83" t="n">
        <x:v>11</x:v>
      </x:c>
      <x:c r="Q23" s="84" t="n">
        <x:v>2.5</x:v>
      </x:c>
      <x:c r="R23" s="64" t="str">
        <x:v>Alta</x:v>
      </x:c>
      <x:c r="S23" s="63" t="str">
        <x:v>Concessionários, distribuidores, dirigentes e gestores</x:v>
      </x:c>
      <x:c r="T23" s="63" t="str">
        <x:v>Baixo</x:v>
      </x:c>
      <x:c r="U23" s="63" t="str">
        <x:v>Concentra concessionários e gestores; boa fonte de eventos, dirigentes e comentários profissionais.</x:v>
      </x:c>
      <x:c r="V23" s="63" t="str">
        <x:v>Apify · Instagram Scraper</x:v>
      </x:c>
      <x:c r="W23" s="63" t="str">
        <x:v>2026-10-07</x:v>
      </x:c>
    </x:row>
    <x:row r="24">
      <x:c r="A24" s="64" t="n">
        <x:v>15</x:v>
      </x:c>
      <x:c r="B24" s="64" t="str">
        <x:v>A</x:v>
      </x:c>
      <x:c r="C24" s="64" t="str">
        <x:v>Sim — coleta</x:v>
      </x:c>
      <x:c r="D24" s="64" t="n">
        <x:v>91</x:v>
      </x:c>
      <x:c r="E24" s="63" t="str">
        <x:v>Associação / entidade</x:v>
      </x:c>
      <x:c r="F24" s="63" t="str">
        <x:v>SINCODIV-RS</x:v>
      </x:c>
      <x:c r="G24" s="63" t="str">
        <x:v>@sincodivrs</x:v>
      </x:c>
      <x:c r="H24" s="63" t="str">
        <x:v>https://www.instagram.com/sincodivrs</x:v>
      </x:c>
      <x:c r="I24" s="63" t="str">
        <x:v>Sindicato das Concessionárias e Distribuidores de Veículos no RS Representamos 753 concessionárias no RS 📌 Associe-se | Benefícios | Eventos</x:v>
      </x:c>
      <x:c r="J24" s="83" t="n">
        <x:v>1624</x:v>
      </x:c>
      <x:c r="K24" s="83" t="n">
        <x:v>510</x:v>
      </x:c>
      <x:c r="L24" s="64" t="str">
        <x:v>Sim</x:v>
      </x:c>
      <x:c r="M24" s="64" t="str">
        <x:v>Não</x:v>
      </x:c>
      <x:c r="N24" s="64" t="str">
        <x:v>2026-10-06</x:v>
      </x:c>
      <x:c r="O24" s="64" t="str">
        <x:v>Ativo ≤30d</x:v>
      </x:c>
      <x:c r="P24" s="83" t="n">
        <x:v>11</x:v>
      </x:c>
      <x:c r="Q24" s="84" t="n">
        <x:v>2.7</x:v>
      </x:c>
      <x:c r="R24" s="64" t="str">
        <x:v>Alta</x:v>
      </x:c>
      <x:c r="S24" s="63" t="str">
        <x:v>Concessionários, distribuidores, dirigentes e gestores</x:v>
      </x:c>
      <x:c r="T24" s="63" t="str">
        <x:v>Baixo</x:v>
      </x:c>
      <x:c r="U24" s="63" t="str">
        <x:v>Concentra concessionários e gestores; boa fonte de eventos, dirigentes e comentários profissionais.</x:v>
      </x:c>
      <x:c r="V24" s="63" t="str">
        <x:v>Apify · Instagram Scraper</x:v>
      </x:c>
      <x:c r="W24" s="63" t="str">
        <x:v>2026-10-07</x:v>
      </x:c>
    </x:row>
    <x:row r="25">
      <x:c r="A25" s="64" t="n">
        <x:v>16</x:v>
      </x:c>
      <x:c r="B25" s="64" t="str">
        <x:v>A</x:v>
      </x:c>
      <x:c r="C25" s="64" t="str">
        <x:v>Sim — coleta</x:v>
      </x:c>
      <x:c r="D25" s="64" t="n">
        <x:v>91</x:v>
      </x:c>
      <x:c r="E25" s="63" t="str">
        <x:v>Educação / consultoria</x:v>
      </x:c>
      <x:c r="F25" s="63" t="str">
        <x:v>Silvana G. Dalssaso - Consultora em Gestão Empresarial</x:v>
      </x:c>
      <x:c r="G25" s="63" t="str">
        <x:v>@sdalssaso</x:v>
      </x:c>
      <x:c r="H25" s="63" t="str">
        <x:v>https://www.instagram.com/sdalssaso</x:v>
      </x:c>
      <x:c r="I25" s="63" t="str">
        <x:v>👑 Referência em gestão de concessionárias do agro 🏆+20 anos experiência ⚙️Estratégia, processos e performance 🔓Consultoria exclusiva</x:v>
      </x:c>
      <x:c r="J25" s="83" t="n">
        <x:v>456</x:v>
      </x:c>
      <x:c r="K25" s="83" t="n">
        <x:v>379</x:v>
      </x:c>
      <x:c r="L25" s="64" t="str">
        <x:v>Não</x:v>
      </x:c>
      <x:c r="M25" s="64" t="str">
        <x:v>Não</x:v>
      </x:c>
      <x:c r="N25" s="64" t="str">
        <x:v>2026-10-07</x:v>
      </x:c>
      <x:c r="O25" s="64" t="str">
        <x:v>Ativo ≤30d</x:v>
      </x:c>
      <x:c r="P25" s="83" t="n">
        <x:v>9</x:v>
      </x:c>
      <x:c r="Q25" s="84" t="n">
        <x:v>1.6</x:v>
      </x:c>
      <x:c r="R25" s="64" t="str">
        <x:v>Alta</x:v>
      </x:c>
      <x:c r="S25" s="63" t="str">
        <x:v>Donos, líderes e equipes de concessionárias e varejo automotivo</x:v>
      </x:c>
      <x:c r="T25" s="63" t="str">
        <x:v>Baixo</x:v>
      </x:c>
      <x:c r="U25" s="63" t="str">
        <x:v>Alta aderência ao ICP e audiência profissional próxima de concessionárias.</x:v>
      </x:c>
      <x:c r="V25" s="63" t="str">
        <x:v>Apify · Instagram Scraper</x:v>
      </x:c>
      <x:c r="W25" s="63" t="str">
        <x:v>2026-10-07</x:v>
      </x:c>
    </x:row>
    <x:row r="26">
      <x:c r="A26" s="64" t="n">
        <x:v>17</x:v>
      </x:c>
      <x:c r="B26" s="64" t="str">
        <x:v>A</x:v>
      </x:c>
      <x:c r="C26" s="64" t="str">
        <x:v>Sim — coleta</x:v>
      </x:c>
      <x:c r="D26" s="64" t="n">
        <x:v>91</x:v>
      </x:c>
      <x:c r="E26" s="63" t="str">
        <x:v>Tecnologia / serviço B2B</x:v>
      </x:c>
      <x:c r="F26" s="63" t="str">
        <x:v>DMS SISTEMAS</x:v>
      </x:c>
      <x:c r="G26" s="63" t="str">
        <x:v>@dmssistemas</x:v>
      </x:c>
      <x:c r="H26" s="63" t="str">
        <x:v>https://www.instagram.com/dmssistemas</x:v>
      </x:c>
      <x:c r="I26" s="63" t="str">
        <x:v>🛵O sistema que simplifica a gestão da sua concessionária. 📋 Veículos | Estoque | Financeiro | Pós-Vendas 🚀 Tenha mais controle do seu negócio.</x:v>
      </x:c>
      <x:c r="J26" s="83" t="n">
        <x:v>185</x:v>
      </x:c>
      <x:c r="K26" s="83" t="n">
        <x:v>8</x:v>
      </x:c>
      <x:c r="L26" s="64" t="str">
        <x:v>Sim</x:v>
      </x:c>
      <x:c r="M26" s="64" t="str">
        <x:v>Não</x:v>
      </x:c>
      <x:c r="N26" s="64" t="str">
        <x:v>2026-10-06</x:v>
      </x:c>
      <x:c r="O26" s="64" t="str">
        <x:v>Ativo ≤30d</x:v>
      </x:c>
      <x:c r="P26" s="83" t="n">
        <x:v>9</x:v>
      </x:c>
      <x:c r="Q26" s="84" t="n">
        <x:v>3</x:v>
      </x:c>
      <x:c r="R26" s="64" t="str">
        <x:v>Alta</x:v>
      </x:c>
      <x:c r="S26" s="63" t="str">
        <x:v>Gestão, operações, CRM/BDC, marketing e vendas automotivas</x:v>
      </x:c>
      <x:c r="T26" s="63" t="str">
        <x:v>Baixo</x:v>
      </x:c>
      <x:c r="U26" s="63" t="str">
        <x:v>Solução voltada ao ecossistema automotivo; seguidores tendem a incluir gestores e operadores.</x:v>
      </x:c>
      <x:c r="V26" s="63" t="str">
        <x:v>Apify · Instagram Scraper</x:v>
      </x:c>
      <x:c r="W26" s="63" t="str">
        <x:v>2026-10-07</x:v>
      </x:c>
    </x:row>
    <x:row r="27">
      <x:c r="A27" s="64" t="n">
        <x:v>18</x:v>
      </x:c>
      <x:c r="B27" s="64" t="str">
        <x:v>A</x:v>
      </x:c>
      <x:c r="C27" s="64" t="str">
        <x:v>Sim — coleta</x:v>
      </x:c>
      <x:c r="D27" s="64" t="n">
        <x:v>91</x:v>
      </x:c>
      <x:c r="E27" s="63" t="str">
        <x:v>Pessoa / executivo automotivo</x:v>
      </x:c>
      <x:c r="F27" s="63" t="str">
        <x:v>Gabriel Salles | Gerente Comercial Automotivo</x:v>
      </x:c>
      <x:c r="G27" s="63" t="str">
        <x:v>@gabrielsalles.consultor</x:v>
      </x:c>
      <x:c r="H27" s="63" t="str">
        <x:v>https://www.instagram.com/gabrielsalles.consultor</x:v>
      </x:c>
      <x:c r="I27" s="63" t="str">
        <x:v>Gerente Comercial | Automotivo +11 anos no mercado automotivo Realizando negócios e sonhos 🚘 📍 Ribeirão Preto • SP 📲 Atendimento pelo WhatsApp ↓</x:v>
      </x:c>
      <x:c r="J27" s="83" t="n">
        <x:v>3058</x:v>
      </x:c>
      <x:c r="K27" s="83" t="n">
        <x:v>89</x:v>
      </x:c>
      <x:c r="L27" s="64" t="str">
        <x:v>Não</x:v>
      </x:c>
      <x:c r="M27" s="64" t="str">
        <x:v>Sim</x:v>
      </x:c>
      <x:c r="N27" s="64" t="str">
        <x:v>2026-09-30</x:v>
      </x:c>
      <x:c r="O27" s="64" t="str">
        <x:v>Ativo ≤30d</x:v>
      </x:c>
      <x:c r="P27" s="83" t="n">
        <x:v>8</x:v>
      </x:c>
      <x:c r="Q27" s="84" t="n">
        <x:v>3.4</x:v>
      </x:c>
      <x:c r="R27" s="64" t="str">
        <x:v>Alta</x:v>
      </x:c>
      <x:c r="S27" s="63" t="str">
        <x:v>Executivos, gerentes, vendedores e profissionais automotivos</x:v>
      </x:c>
      <x:c r="T27" s="63" t="str">
        <x:v>Baixo</x:v>
      </x:c>
      <x:c r="U27" s="63" t="str">
        <x:v>Cargo e conteúdo indicam atuação direta em gestão/operação de concessionárias.</x:v>
      </x:c>
      <x:c r="V27" s="63" t="str">
        <x:v>Apify · Instagram Scraper</x:v>
      </x:c>
      <x:c r="W27" s="63" t="str">
        <x:v>2026-10-07</x:v>
      </x:c>
    </x:row>
    <x:row r="28">
      <x:c r="A28" s="64" t="n">
        <x:v>19</x:v>
      </x:c>
      <x:c r="B28" s="64" t="str">
        <x:v>A</x:v>
      </x:c>
      <x:c r="C28" s="64" t="str">
        <x:v>Sim — coleta</x:v>
      </x:c>
      <x:c r="D28" s="64" t="n">
        <x:v>91</x:v>
      </x:c>
      <x:c r="E28" s="63" t="str">
        <x:v>Educação / consultoria</x:v>
      </x:c>
      <x:c r="F28" s="63" t="str">
        <x:v>Universidade Fenabrave</x:v>
      </x:c>
      <x:c r="G28" s="63" t="str">
        <x:v>@universidade_fenabrave</x:v>
      </x:c>
      <x:c r="H28" s="63" t="str">
        <x:v>https://www.instagram.com/universidade_fenabrave</x:v>
      </x:c>
      <x:c r="I28" s="63" t="str">
        <x:v>Capacitamos profissionais do setor automotivo ⚙️🚗 Impulsionamos a sua carreira 📈 Saiba mais 👇</x:v>
      </x:c>
      <x:c r="J28" s="83" t="n">
        <x:v>2082</x:v>
      </x:c>
      <x:c r="K28" s="83" t="n">
        <x:v>441</x:v>
      </x:c>
      <x:c r="L28" s="64" t="str">
        <x:v>Sim</x:v>
      </x:c>
      <x:c r="M28" s="64" t="str">
        <x:v>Não</x:v>
      </x:c>
      <x:c r="N28" s="64" t="str">
        <x:v>2026-10-05</x:v>
      </x:c>
      <x:c r="O28" s="64" t="str">
        <x:v>Ativo ≤30d</x:v>
      </x:c>
      <x:c r="P28" s="83" t="n">
        <x:v>8</x:v>
      </x:c>
      <x:c r="Q28" s="84" t="n">
        <x:v>0.7</x:v>
      </x:c>
      <x:c r="R28" s="64" t="str">
        <x:v>Alta</x:v>
      </x:c>
      <x:c r="S28" s="63" t="str">
        <x:v>Donos, líderes e equipes de concessionárias e varejo automotivo</x:v>
      </x:c>
      <x:c r="T28" s="63" t="str">
        <x:v>Baixo</x:v>
      </x:c>
      <x:c r="U28" s="63" t="str">
        <x:v>Alta aderência ao ICP e audiência profissional próxima de concessionárias.</x:v>
      </x:c>
      <x:c r="V28" s="63" t="str">
        <x:v>Apify · Instagram Scraper</x:v>
      </x:c>
      <x:c r="W28" s="63" t="str">
        <x:v>2026-10-07</x:v>
      </x:c>
    </x:row>
    <x:row r="29">
      <x:c r="A29" s="64" t="n">
        <x:v>20</x:v>
      </x:c>
      <x:c r="B29" s="64" t="str">
        <x:v>A</x:v>
      </x:c>
      <x:c r="C29" s="64" t="str">
        <x:v>Sim — coleta</x:v>
      </x:c>
      <x:c r="D29" s="64" t="n">
        <x:v>91</x:v>
      </x:c>
      <x:c r="E29" s="63" t="str">
        <x:v>Tecnologia / serviço B2B</x:v>
      </x:c>
      <x:c r="F29" s="63" t="str">
        <x:v>NBS - Tecnologia em Sistemas</x:v>
      </x:c>
      <x:c r="G29" s="63" t="str">
        <x:v>@nbstecnologiaemsistemas</x:v>
      </x:c>
      <x:c r="H29" s="63" t="str">
        <x:v>https://www.instagram.com/nbstecnologiaemsistemas</x:v>
      </x:c>
      <x:c r="I29" s="63" t="str">
        <x:v>🏆 DMS Líder do Mercado 🚘 + 4.500 Concessionárias no País 🎯 Gestão Completa e Inovadora</x:v>
      </x:c>
      <x:c r="J29" s="83" t="n">
        <x:v>900</x:v>
      </x:c>
      <x:c r="K29" s="83" t="n">
        <x:v>78</x:v>
      </x:c>
      <x:c r="L29" s="64" t="str">
        <x:v>Sim</x:v>
      </x:c>
      <x:c r="M29" s="64" t="str">
        <x:v>Não</x:v>
      </x:c>
      <x:c r="N29" s="64" t="str">
        <x:v>2026-09-29</x:v>
      </x:c>
      <x:c r="O29" s="64" t="str">
        <x:v>Ativo ≤30d</x:v>
      </x:c>
      <x:c r="P29" s="83" t="n">
        <x:v>8</x:v>
      </x:c>
      <x:c r="Q29" s="84" t="n">
        <x:v>1.5</x:v>
      </x:c>
      <x:c r="R29" s="64" t="str">
        <x:v>Alta</x:v>
      </x:c>
      <x:c r="S29" s="63" t="str">
        <x:v>Gestão, operações, CRM/BDC, marketing e vendas automotivas</x:v>
      </x:c>
      <x:c r="T29" s="63" t="str">
        <x:v>Baixo</x:v>
      </x:c>
      <x:c r="U29" s="63" t="str">
        <x:v>Solução voltada ao ecossistema automotivo; seguidores tendem a incluir gestores e operadores.</x:v>
      </x:c>
      <x:c r="V29" s="63" t="str">
        <x:v>Apify · Instagram Scraper</x:v>
      </x:c>
      <x:c r="W29" s="63" t="str">
        <x:v>2026-10-07</x:v>
      </x:c>
    </x:row>
    <x:row r="30">
      <x:c r="A30" s="64" t="n">
        <x:v>21</x:v>
      </x:c>
      <x:c r="B30" s="64" t="str">
        <x:v>A</x:v>
      </x:c>
      <x:c r="C30" s="64" t="str">
        <x:v>Sim — coleta</x:v>
      </x:c>
      <x:c r="D30" s="64" t="n">
        <x:v>91</x:v>
      </x:c>
      <x:c r="E30" s="63" t="str">
        <x:v>Tecnologia / serviço B2B</x:v>
      </x:c>
      <x:c r="F30" s="63" t="str">
        <x:v>Dashboard Automotivo | Data Dealer</x:v>
      </x:c>
      <x:c r="G30" s="63" t="str">
        <x:v>@datadealeroficial</x:v>
      </x:c>
      <x:c r="H30" s="63" t="str">
        <x:v>https://www.instagram.com/datadealeroficial</x:v>
      </x:c>
      <x:c r="I30" s="63" t="str">
        <x:v>BI para +220 concessionárias em todo o 🇧🇷 Integração com DealerNet, NBS, Linx e Microwork 360° em estoque, vendas, peças e financeiro Saiba mais ⤵</x:v>
      </x:c>
      <x:c r="J30" s="83" t="n">
        <x:v>317</x:v>
      </x:c>
      <x:c r="K30" s="83" t="n">
        <x:v>35</x:v>
      </x:c>
      <x:c r="L30" s="64" t="str">
        <x:v>Não</x:v>
      </x:c>
      <x:c r="M30" s="64" t="str">
        <x:v>Não</x:v>
      </x:c>
      <x:c r="N30" s="64" t="str">
        <x:v>2026-10-05</x:v>
      </x:c>
      <x:c r="O30" s="64" t="str">
        <x:v>Ativo ≤30d</x:v>
      </x:c>
      <x:c r="P30" s="83" t="n">
        <x:v>8</x:v>
      </x:c>
      <x:c r="Q30" s="84" t="n">
        <x:v>2.5</x:v>
      </x:c>
      <x:c r="R30" s="64" t="str">
        <x:v>Alta</x:v>
      </x:c>
      <x:c r="S30" s="63" t="str">
        <x:v>Gestão, operações, CRM/BDC, marketing e vendas automotivas</x:v>
      </x:c>
      <x:c r="T30" s="63" t="str">
        <x:v>Baixo</x:v>
      </x:c>
      <x:c r="U30" s="63" t="str">
        <x:v>Solução voltada ao ecossistema automotivo; seguidores tendem a incluir gestores e operadores.</x:v>
      </x:c>
      <x:c r="V30" s="63" t="str">
        <x:v>Apify · Instagram Scraper</x:v>
      </x:c>
      <x:c r="W30" s="63" t="str">
        <x:v>2026-10-07</x:v>
      </x:c>
    </x:row>
    <x:row r="31">
      <x:c r="A31" s="64" t="n">
        <x:v>22</x:v>
      </x:c>
      <x:c r="B31" s="64" t="str">
        <x:v>A</x:v>
      </x:c>
      <x:c r="C31" s="64" t="str">
        <x:v>Sim — coleta</x:v>
      </x:c>
      <x:c r="D31" s="64" t="n">
        <x:v>91</x:v>
      </x:c>
      <x:c r="E31" s="63" t="str">
        <x:v>Pessoa / executivo automotivo</x:v>
      </x:c>
      <x:c r="F31" s="63" t="str">
        <x:v>Adonias Martins</x:v>
      </x:c>
      <x:c r="G31" s="63" t="str">
        <x:v>@adonias_mp</x:v>
      </x:c>
      <x:c r="H31" s="63" t="str">
        <x:v>https://www.instagram.com/adonias_mp</x:v>
      </x:c>
      <x:c r="I31" s="63" t="str">
        <x:v>📈 Gerente Comercial Automotivo 🚗 +15 anos no mercado 🎯 Especialista em vendas e gestão de equipes 📍 Ji-Paraná • RO 📲 Fale comigo no WhatsApp ↓</x:v>
      </x:c>
      <x:c r="J31" s="83" t="n">
        <x:v>487</x:v>
      </x:c>
      <x:c r="K31" s="83" t="n">
        <x:v>390</x:v>
      </x:c>
      <x:c r="L31" s="64" t="str">
        <x:v>Não</x:v>
      </x:c>
      <x:c r="M31" s="64" t="str">
        <x:v>Não</x:v>
      </x:c>
      <x:c r="N31" s="64" t="str">
        <x:v>2026-09-23</x:v>
      </x:c>
      <x:c r="O31" s="64" t="str">
        <x:v>Ativo ≤30d</x:v>
      </x:c>
      <x:c r="P31" s="83" t="n">
        <x:v>6</x:v>
      </x:c>
      <x:c r="Q31" s="84" t="n">
        <x:v>0.5</x:v>
      </x:c>
      <x:c r="R31" s="64" t="str">
        <x:v>Alta</x:v>
      </x:c>
      <x:c r="S31" s="63" t="str">
        <x:v>Executivos, gerentes, vendedores e profissionais automotivos</x:v>
      </x:c>
      <x:c r="T31" s="63" t="str">
        <x:v>Baixo</x:v>
      </x:c>
      <x:c r="U31" s="63" t="str">
        <x:v>Cargo e conteúdo indicam atuação direta em gestão/operação de concessionárias.</x:v>
      </x:c>
      <x:c r="V31" s="63" t="str">
        <x:v>Apify · Instagram Scraper</x:v>
      </x:c>
      <x:c r="W31" s="63" t="str">
        <x:v>2026-10-07</x:v>
      </x:c>
    </x:row>
    <x:row r="32">
      <x:c r="A32" s="64" t="n">
        <x:v>23</x:v>
      </x:c>
      <x:c r="B32" s="64" t="str">
        <x:v>A</x:v>
      </x:c>
      <x:c r="C32" s="64" t="str">
        <x:v>Sim — coleta</x:v>
      </x:c>
      <x:c r="D32" s="64" t="n">
        <x:v>91</x:v>
      </x:c>
      <x:c r="E32" s="63" t="str">
        <x:v>Mídia / podcast</x:v>
      </x:c>
      <x:c r="F32" s="63" t="str">
        <x:v>Automotive Business</x:v>
      </x:c>
      <x:c r="G32" s="63" t="str">
        <x:v>@automotive_business</x:v>
      </x:c>
      <x:c r="H32" s="63" t="str">
        <x:v>https://www.instagram.com/automotive_business</x:v>
      </x:c>
      <x:c r="I32" s="63" t="str">
        <x:v>🚗 Tudo o que você precisa saber sobre o setor automotivo e da mobilidade 🎟️ Garanta o seu ingresso para o #ABX26. Link na bio</x:v>
      </x:c>
      <x:c r="J32" s="83" t="n">
        <x:v>15666</x:v>
      </x:c>
      <x:c r="K32" s="83" t="n">
        <x:v>991</x:v>
      </x:c>
      <x:c r="L32" s="64" t="str">
        <x:v>Sim</x:v>
      </x:c>
      <x:c r="M32" s="64" t="str">
        <x:v>Sim</x:v>
      </x:c>
      <x:c r="N32" s="64" t="str">
        <x:v>2026-10-07</x:v>
      </x:c>
      <x:c r="O32" s="64" t="str">
        <x:v>Ativo ≤30d</x:v>
      </x:c>
      <x:c r="P32" s="83" t="n">
        <x:v>4</x:v>
      </x:c>
      <x:c r="Q32" s="84" t="n">
        <x:v>1.1</x:v>
      </x:c>
      <x:c r="R32" s="64" t="str">
        <x:v>Alta</x:v>
      </x:c>
      <x:c r="S32" s="63" t="str">
        <x:v>Executivos, gestores e profissionais do setor automotivo</x:v>
      </x:c>
      <x:c r="T32" s="63" t="str">
        <x:v>Médio</x:v>
      </x:c>
      <x:c r="U32" s="63" t="str">
        <x:v>Alta aderência ao ICP e audiência profissional próxima de concessionárias.</x:v>
      </x:c>
      <x:c r="V32" s="63" t="str">
        <x:v>Apify · Instagram Scraper</x:v>
      </x:c>
      <x:c r="W32" s="63" t="str">
        <x:v>2026-10-07</x:v>
      </x:c>
    </x:row>
    <x:row r="33">
      <x:c r="A33" s="64" t="n">
        <x:v>24</x:v>
      </x:c>
      <x:c r="B33" s="64" t="str">
        <x:v>A</x:v>
      </x:c>
      <x:c r="C33" s="64" t="str">
        <x:v>Sim — coleta</x:v>
      </x:c>
      <x:c r="D33" s="64" t="n">
        <x:v>88</x:v>
      </x:c>
      <x:c r="E33" s="63" t="str">
        <x:v>Pessoa / executivo automotivo</x:v>
      </x:c>
      <x:c r="F33" s="63" t="str">
        <x:v>França | Vendas, Liderança</x:v>
      </x:c>
      <x:c r="G33" s="63" t="str">
        <x:v>@franca.gestor_</x:v>
      </x:c>
      <x:c r="H33" s="63" t="str">
        <x:v>https://www.instagram.com/franca.gestor_</x:v>
      </x:c>
      <x:c r="I33" s="63" t="str">
        <x:v>Gerente Comercial Automotivo Veículos Novos e Seminovos Gestão de Concessionária Liderança de Equipes</x:v>
      </x:c>
      <x:c r="J33" s="83" t="n">
        <x:v>2392</x:v>
      </x:c>
      <x:c r="K33" s="83" t="n">
        <x:v>177</x:v>
      </x:c>
      <x:c r="L33" s="64" t="str">
        <x:v>Não</x:v>
      </x:c>
      <x:c r="M33" s="64" t="str">
        <x:v>Não</x:v>
      </x:c>
      <x:c r="N33" s="64" t="str">
        <x:v>2026-10-01</x:v>
      </x:c>
      <x:c r="O33" s="64" t="str">
        <x:v>Ativo ≤30d</x:v>
      </x:c>
      <x:c r="P33" s="83" t="n">
        <x:v>4</x:v>
      </x:c>
      <x:c r="Q33" s="84" t="n">
        <x:v>1</x:v>
      </x:c>
      <x:c r="R33" s="64" t="str">
        <x:v>Alta</x:v>
      </x:c>
      <x:c r="S33" s="63" t="str">
        <x:v>Executivos, gerentes, vendedores e profissionais automotivos</x:v>
      </x:c>
      <x:c r="T33" s="63" t="str">
        <x:v>Baixo</x:v>
      </x:c>
      <x:c r="U33" s="63" t="str">
        <x:v>Cargo e conteúdo indicam atuação direta em gestão/operação de concessionárias.</x:v>
      </x:c>
      <x:c r="V33" s="63" t="str">
        <x:v>Apify · Instagram Scraper</x:v>
      </x:c>
      <x:c r="W33" s="63" t="str">
        <x:v>2026-10-07</x:v>
      </x:c>
    </x:row>
    <x:row r="34">
      <x:c r="A34" s="64" t="n">
        <x:v>25</x:v>
      </x:c>
      <x:c r="B34" s="64" t="str">
        <x:v>A</x:v>
      </x:c>
      <x:c r="C34" s="64" t="str">
        <x:v>Sim — coleta</x:v>
      </x:c>
      <x:c r="D34" s="64" t="n">
        <x:v>88</x:v>
      </x:c>
      <x:c r="E34" s="63" t="str">
        <x:v>Tecnologia / serviço B2B</x:v>
      </x:c>
      <x:c r="F34" s="63" t="str">
        <x:v>𝗠𝗶𝗰𝗿𝗼𝗪𝗼𝗿𝗸</x:v>
      </x:c>
      <x:c r="G34" s="63" t="str">
        <x:v>@microworksoftwares</x:v>
      </x:c>
      <x:c r="H34" s="63" t="str">
        <x:v>https://www.instagram.com/microworksoftwares</x:v>
      </x:c>
      <x:c r="I34" s="63" t="str">
        <x:v>De ponta a ponta &gt; sua concessionária digital Ecossistema MicroWork +agilidade, produtividade e visão estratégica +2200 concessionárias em todo Brasil</x:v>
      </x:c>
      <x:c r="J34" s="83" t="n">
        <x:v>1539</x:v>
      </x:c>
      <x:c r="K34" s="83" t="n">
        <x:v>675</x:v>
      </x:c>
      <x:c r="L34" s="64" t="str">
        <x:v>Sim</x:v>
      </x:c>
      <x:c r="M34" s="64" t="str">
        <x:v>Não</x:v>
      </x:c>
      <x:c r="N34" s="64" t="str">
        <x:v>2026-10-07</x:v>
      </x:c>
      <x:c r="O34" s="64" t="str">
        <x:v>Ativo ≤30d</x:v>
      </x:c>
      <x:c r="P34" s="83" t="n">
        <x:v>4</x:v>
      </x:c>
      <x:c r="Q34" s="84" t="n">
        <x:v>0.8</x:v>
      </x:c>
      <x:c r="R34" s="64" t="str">
        <x:v>Alta</x:v>
      </x:c>
      <x:c r="S34" s="63" t="str">
        <x:v>Gestão, operações, CRM/BDC, marketing e vendas automotivas</x:v>
      </x:c>
      <x:c r="T34" s="63" t="str">
        <x:v>Baixo</x:v>
      </x:c>
      <x:c r="U34" s="63" t="str">
        <x:v>Solução voltada ao ecossistema automotivo; seguidores tendem a incluir gestores e operadores.</x:v>
      </x:c>
      <x:c r="V34" s="63" t="str">
        <x:v>Apify · Instagram Scraper</x:v>
      </x:c>
      <x:c r="W34" s="63" t="str">
        <x:v>2026-10-07</x:v>
      </x:c>
    </x:row>
    <x:row r="35">
      <x:c r="A35" s="64" t="n">
        <x:v>26</x:v>
      </x:c>
      <x:c r="B35" s="64" t="str">
        <x:v>A</x:v>
      </x:c>
      <x:c r="C35" s="64" t="str">
        <x:v>Sim — coleta</x:v>
      </x:c>
      <x:c r="D35" s="64" t="n">
        <x:v>88</x:v>
      </x:c>
      <x:c r="E35" s="63" t="str">
        <x:v>Marketing / geração de demanda</x:v>
      </x:c>
      <x:c r="F35" s="63" t="str">
        <x:v>DR Launch | Marketing Automotivo e Vendas</x:v>
      </x:c>
      <x:c r="G35" s="63" t="str">
        <x:v>@drlaunch_</x:v>
      </x:c>
      <x:c r="H35" s="63" t="str">
        <x:v>https://www.instagram.com/drlaunch_</x:v>
      </x:c>
      <x:c r="I35" s="63" t="str">
        <x:v>🎯 | Método Revolution: + Leads + Fluxo + Vendas 🔥 | Mais de 100 MILHÕES em VENDAS de Veículos em 2025 🤩 | Eventos de Vendas 🔗 | Saiba Mais ↓</x:v>
      </x:c>
      <x:c r="J35" s="83" t="n">
        <x:v>1476</x:v>
      </x:c>
      <x:c r="K35" s="83" t="n">
        <x:v>722</x:v>
      </x:c>
      <x:c r="L35" s="64" t="str">
        <x:v>Não</x:v>
      </x:c>
      <x:c r="M35" s="64" t="str">
        <x:v>Sim</x:v>
      </x:c>
      <x:c r="N35" s="64" t="str">
        <x:v>2026-10-07</x:v>
      </x:c>
      <x:c r="O35" s="64" t="str">
        <x:v>Ativo ≤30d</x:v>
      </x:c>
      <x:c r="P35" s="83" t="n">
        <x:v>4</x:v>
      </x:c>
      <x:c r="Q35" s="84" t="n">
        <x:v>1</x:v>
      </x:c>
      <x:c r="R35" s="64" t="str">
        <x:v>Alta</x:v>
      </x:c>
      <x:c r="S35" s="63" t="str">
        <x:v>Lojistas, concessionárias, vendedores e gestores comerciais</x:v>
      </x:c>
      <x:c r="T35" s="63" t="str">
        <x:v>Baixo</x:v>
      </x:c>
      <x:c r="U35" s="63" t="str">
        <x:v>Alta aderência ao ICP e audiência profissional próxima de concessionárias.</x:v>
      </x:c>
      <x:c r="V35" s="63" t="str">
        <x:v>Apify · Instagram Scraper</x:v>
      </x:c>
      <x:c r="W35" s="63" t="str">
        <x:v>2026-10-07</x:v>
      </x:c>
    </x:row>
    <x:row r="36">
      <x:c r="A36" s="64" t="n">
        <x:v>27</x:v>
      </x:c>
      <x:c r="B36" s="64" t="str">
        <x:v>A</x:v>
      </x:c>
      <x:c r="C36" s="64" t="str">
        <x:v>Sim — coleta</x:v>
      </x:c>
      <x:c r="D36" s="64" t="n">
        <x:v>88</x:v>
      </x:c>
      <x:c r="E36" s="63" t="str">
        <x:v>Marketing / geração de demanda</x:v>
      </x:c>
      <x:c r="F36" s="63" t="str">
        <x:v>Ivoneia | CRM concessionárias</x:v>
      </x:c>
      <x:c r="G36" s="63" t="str">
        <x:v>@ivoneia.arescrm</x:v>
      </x:c>
      <x:c r="H36" s="63" t="str">
        <x:v>https://www.instagram.com/ivoneia.arescrm</x:v>
      </x:c>
      <x:c r="I36" s="63" t="str">
        <x:v>👩‍💼Especialista em CRM para Concessionárias com WhatsApp + IA @ares.crm</x:v>
      </x:c>
      <x:c r="J36" s="83" t="n">
        <x:v>326</x:v>
      </x:c>
      <x:c r="K36" s="83" t="n">
        <x:v>46</x:v>
      </x:c>
      <x:c r="L36" s="64" t="str">
        <x:v>Não</x:v>
      </x:c>
      <x:c r="M36" s="64" t="str">
        <x:v>Não</x:v>
      </x:c>
      <x:c r="N36" s="64" t="str">
        <x:v>2026-09-30</x:v>
      </x:c>
      <x:c r="O36" s="64" t="str">
        <x:v>Ativo ≤30d</x:v>
      </x:c>
      <x:c r="P36" s="83" t="n">
        <x:v>3</x:v>
      </x:c>
      <x:c r="Q36" s="84" t="n">
        <x:v>0.7</x:v>
      </x:c>
      <x:c r="R36" s="64" t="str">
        <x:v>Alta</x:v>
      </x:c>
      <x:c r="S36" s="63" t="str">
        <x:v>Lojistas, concessionárias, vendedores e gestores comerciais</x:v>
      </x:c>
      <x:c r="T36" s="63" t="str">
        <x:v>Baixo</x:v>
      </x:c>
      <x:c r="U36" s="63" t="str">
        <x:v>Alta aderência ao ICP e audiência profissional próxima de concessionárias.</x:v>
      </x:c>
      <x:c r="V36" s="63" t="str">
        <x:v>Apify · Instagram Scraper</x:v>
      </x:c>
      <x:c r="W36" s="63" t="str">
        <x:v>2026-10-07</x:v>
      </x:c>
    </x:row>
    <x:row r="37">
      <x:c r="A37" s="64" t="n">
        <x:v>28</x:v>
      </x:c>
      <x:c r="B37" s="64" t="str">
        <x:v>A</x:v>
      </x:c>
      <x:c r="C37" s="64" t="str">
        <x:v>Sim — coleta</x:v>
      </x:c>
      <x:c r="D37" s="64" t="n">
        <x:v>86</x:v>
      </x:c>
      <x:c r="E37" s="63" t="str">
        <x:v>Educação / consultoria</x:v>
      </x:c>
      <x:c r="F37" s="63" t="str">
        <x:v>MBA em Gestão para Concessionárias - FISUL</x:v>
      </x:c>
      <x:c r="G37" s="63" t="str">
        <x:v>@mba.concessionarias</x:v>
      </x:c>
      <x:c r="H37" s="63" t="str">
        <x:v>https://www.instagram.com/mba.concessionarias</x:v>
      </x:c>
      <x:c r="I37" s="63" t="str">
        <x:v>💡| TURMA 6 - Inscrições Abertas 📚| + de 200 alunos MEC pela @faculdadefisul</x:v>
      </x:c>
      <x:c r="J37" s="83" t="n">
        <x:v>874</x:v>
      </x:c>
      <x:c r="K37" s="83" t="n">
        <x:v>98</x:v>
      </x:c>
      <x:c r="L37" s="64" t="str">
        <x:v>Não</x:v>
      </x:c>
      <x:c r="M37" s="64" t="str">
        <x:v>Não</x:v>
      </x:c>
      <x:c r="N37" s="64" t="str">
        <x:v>2026-09-05</x:v>
      </x:c>
      <x:c r="O37" s="64" t="str">
        <x:v>Ativo 31–90d</x:v>
      </x:c>
      <x:c r="P37" s="83" t="n">
        <x:v>10</x:v>
      </x:c>
      <x:c r="Q37" s="84" t="n">
        <x:v>2.6</x:v>
      </x:c>
      <x:c r="R37" s="64" t="str">
        <x:v>Alta</x:v>
      </x:c>
      <x:c r="S37" s="63" t="str">
        <x:v>Donos, líderes e equipes de concessionárias e varejo automotivo</x:v>
      </x:c>
      <x:c r="T37" s="63" t="str">
        <x:v>Baixo</x:v>
      </x:c>
      <x:c r="U37" s="63" t="str">
        <x:v>Alta aderência ao ICP e audiência profissional próxima de concessionárias.</x:v>
      </x:c>
      <x:c r="V37" s="63" t="str">
        <x:v>Apify · Instagram Scraper</x:v>
      </x:c>
      <x:c r="W37" s="63" t="str">
        <x:v>2026-10-07</x:v>
      </x:c>
    </x:row>
    <x:row r="38">
      <x:c r="A38" s="64" t="n">
        <x:v>29</x:v>
      </x:c>
      <x:c r="B38" s="64" t="str">
        <x:v>A</x:v>
      </x:c>
      <x:c r="C38" s="64" t="str">
        <x:v>Sim — monitorar/testar</x:v>
      </x:c>
      <x:c r="D38" s="64" t="n">
        <x:v>86</x:v>
      </x:c>
      <x:c r="E38" s="63" t="str">
        <x:v>Educação / consultoria</x:v>
      </x:c>
      <x:c r="F38" s="63" t="str">
        <x:v>MegaDealer Network Development</x:v>
      </x:c>
      <x:c r="G38" s="63" t="str">
        <x:v>@megadealer</x:v>
      </x:c>
      <x:c r="H38" s="63" t="str">
        <x:v>https://www.instagram.com/megadealer</x:v>
      </x:c>
      <x:c r="I38" s="63" t="str">
        <x:v>💡| Oferecemos soluções através de projetos de Consultorias, Treinamentos e Data&amp;Research👇| Ficou interessado? Inscreva-se!</x:v>
      </x:c>
      <x:c r="J38" s="83" t="n">
        <x:v>9020</x:v>
      </x:c>
      <x:c r="K38" s="83" t="n">
        <x:v>1177</x:v>
      </x:c>
      <x:c r="L38" s="64" t="str">
        <x:v>Sim</x:v>
      </x:c>
      <x:c r="M38" s="64" t="str">
        <x:v>Não</x:v>
      </x:c>
      <x:c r="N38" s="64" t="str">
        <x:v>2026-10-07</x:v>
      </x:c>
      <x:c r="O38" s="64" t="str">
        <x:v>Ativo ≤30d</x:v>
      </x:c>
      <x:c r="P38" s="83" t="n">
        <x:v>1</x:v>
      </x:c>
      <x:c r="Q38" s="84" t="n">
        <x:v>0.2</x:v>
      </x:c>
      <x:c r="R38" s="64" t="str">
        <x:v>Alta</x:v>
      </x:c>
      <x:c r="S38" s="63" t="str">
        <x:v>Donos, líderes e equipes de concessionárias e varejo automotivo</x:v>
      </x:c>
      <x:c r="T38" s="63" t="str">
        <x:v>Baixo</x:v>
      </x:c>
      <x:c r="U38" s="63" t="str">
        <x:v>Alta aderência ao ICP e audiência profissional próxima de concessionárias.</x:v>
      </x:c>
      <x:c r="V38" s="63" t="str">
        <x:v>Apify · Instagram Scraper</x:v>
      </x:c>
      <x:c r="W38" s="63" t="str">
        <x:v>2026-10-07</x:v>
      </x:c>
    </x:row>
    <x:row r="39">
      <x:c r="A39" s="64" t="n">
        <x:v>30</x:v>
      </x:c>
      <x:c r="B39" s="64" t="str">
        <x:v>A</x:v>
      </x:c>
      <x:c r="C39" s="64" t="str">
        <x:v>Sim — monitorar/testar</x:v>
      </x:c>
      <x:c r="D39" s="64" t="n">
        <x:v>86</x:v>
      </x:c>
      <x:c r="E39" s="63" t="str">
        <x:v>Tecnologia / serviço B2B</x:v>
      </x:c>
      <x:c r="F39" s="63" t="str">
        <x:v>AutoGestor</x:v>
      </x:c>
      <x:c r="G39" s="63" t="str">
        <x:v>@autogestor</x:v>
      </x:c>
      <x:c r="H39" s="63" t="str">
        <x:v>https://www.instagram.com/autogestor</x:v>
      </x:c>
      <x:c r="I39" s="63" t="str">
        <x:v>🚗 O sistema automotivo mais completo do Brasil 📢 +60 portais integrados 📊 Estoque · CRM · Financeiro · NF-e</x:v>
      </x:c>
      <x:c r="J39" s="83" t="n">
        <x:v>2470</x:v>
      </x:c>
      <x:c r="K39" s="83" t="n">
        <x:v>367</x:v>
      </x:c>
      <x:c r="L39" s="64" t="str">
        <x:v>Sim</x:v>
      </x:c>
      <x:c r="M39" s="64" t="str">
        <x:v>Não</x:v>
      </x:c>
      <x:c r="N39" s="64" t="str">
        <x:v>2026-10-05</x:v>
      </x:c>
      <x:c r="O39" s="64" t="str">
        <x:v>Ativo ≤30d</x:v>
      </x:c>
      <x:c r="P39" s="83" t="n">
        <x:v>1</x:v>
      </x:c>
      <x:c r="Q39" s="84" t="n">
        <x:v>0.4</x:v>
      </x:c>
      <x:c r="R39" s="64" t="str">
        <x:v>Alta</x:v>
      </x:c>
      <x:c r="S39" s="63" t="str">
        <x:v>Gestão, operações, CRM/BDC, marketing e vendas automotivas</x:v>
      </x:c>
      <x:c r="T39" s="63" t="str">
        <x:v>Baixo</x:v>
      </x:c>
      <x:c r="U39" s="63" t="str">
        <x:v>Solução voltada ao ecossistema automotivo; seguidores tendem a incluir gestores e operadores.</x:v>
      </x:c>
      <x:c r="V39" s="63" t="str">
        <x:v>Apify · Instagram Scraper</x:v>
      </x:c>
      <x:c r="W39" s="63" t="str">
        <x:v>2026-10-07</x:v>
      </x:c>
    </x:row>
    <x:row r="40">
      <x:c r="A40" s="64" t="n">
        <x:v>31</x:v>
      </x:c>
      <x:c r="B40" s="64" t="str">
        <x:v>A</x:v>
      </x:c>
      <x:c r="C40" s="64" t="str">
        <x:v>Sim — monitorar/testar</x:v>
      </x:c>
      <x:c r="D40" s="64" t="n">
        <x:v>86</x:v>
      </x:c>
      <x:c r="E40" s="63" t="str">
        <x:v>Tecnologia / serviço B2B</x:v>
      </x:c>
      <x:c r="F40" s="63" t="str">
        <x:v>Dealer Hub</x:v>
      </x:c>
      <x:c r="G40" s="63" t="str">
        <x:v>@dealerhub</x:v>
      </x:c>
      <x:c r="H40" s="63" t="str">
        <x:v>https://www.instagram.com/dealerhub</x:v>
      </x:c>
      <x:c r="I40" s="63" t="str">
        <x:v>⚙️ O Hub de inovação da cadeia automotiva Powered by @neoventures.global</x:v>
      </x:c>
      <x:c r="J40" s="83" t="n">
        <x:v>929</x:v>
      </x:c>
      <x:c r="K40" s="83" t="n">
        <x:v>515</x:v>
      </x:c>
      <x:c r="L40" s="64" t="str">
        <x:v>Sim</x:v>
      </x:c>
      <x:c r="M40" s="64" t="str">
        <x:v>Não</x:v>
      </x:c>
      <x:c r="N40" s="64" t="str">
        <x:v>2026-09-24</x:v>
      </x:c>
      <x:c r="O40" s="64" t="str">
        <x:v>Ativo ≤30d</x:v>
      </x:c>
      <x:c r="P40" s="83" t="n">
        <x:v>0</x:v>
      </x:c>
      <x:c r="Q40" s="84" t="n">
        <x:v>0</x:v>
      </x:c>
      <x:c r="R40" s="64" t="str">
        <x:v>Alta</x:v>
      </x:c>
      <x:c r="S40" s="63" t="str">
        <x:v>Gestão, operações, CRM/BDC, marketing e vendas automotivas</x:v>
      </x:c>
      <x:c r="T40" s="63" t="str">
        <x:v>Baixo</x:v>
      </x:c>
      <x:c r="U40" s="63" t="str">
        <x:v>Solução voltada ao ecossistema automotivo; seguidores tendem a incluir gestores e operadores.</x:v>
      </x:c>
      <x:c r="V40" s="63" t="str">
        <x:v>Apify · Instagram Scraper</x:v>
      </x:c>
      <x:c r="W40" s="63" t="str">
        <x:v>2026-10-07</x:v>
      </x:c>
    </x:row>
    <x:row r="41">
      <x:c r="A41" s="64" t="n">
        <x:v>32</x:v>
      </x:c>
      <x:c r="B41" s="64" t="str">
        <x:v>A</x:v>
      </x:c>
      <x:c r="C41" s="64" t="str">
        <x:v>Sim — coleta</x:v>
      </x:c>
      <x:c r="D41" s="64" t="n">
        <x:v>75</x:v>
      </x:c>
      <x:c r="E41" s="63" t="str">
        <x:v>Pessoa / executivo automotivo</x:v>
      </x:c>
      <x:c r="F41" s="63" t="str">
        <x:v>Thiago Ichioka</x:v>
      </x:c>
      <x:c r="G41" s="63" t="str">
        <x:v>@thiagoichioka</x:v>
      </x:c>
      <x:c r="H41" s="63" t="str">
        <x:v>https://www.instagram.com/thiagoichioka</x:v>
      </x:c>
      <x:c r="I41" s="63" t="str">
        <x:v>🚘 Executivo Automotivo 📈 Estratégia Comercial • Liderança • Operações 🎯 Gestão de Pessoas | Vendas | Pós-vendas | Seminovos 📍Brasil</x:v>
      </x:c>
      <x:c r="J41" s="83" t="n">
        <x:v>1675</x:v>
      </x:c>
      <x:c r="K41" s="83" t="n">
        <x:v>17</x:v>
      </x:c>
      <x:c r="L41" s="64" t="str">
        <x:v>Não</x:v>
      </x:c>
      <x:c r="M41" s="64" t="str">
        <x:v>Não</x:v>
      </x:c>
      <x:c r="N41" s="64" t="str">
        <x:v>2026-02-07</x:v>
      </x:c>
      <x:c r="O41" s="64" t="str">
        <x:v>Desatualizado &gt;90d</x:v>
      </x:c>
      <x:c r="P41" s="83" t="n">
        <x:v>7</x:v>
      </x:c>
      <x:c r="Q41" s="84" t="n">
        <x:v>2.2</x:v>
      </x:c>
      <x:c r="R41" s="64" t="str">
        <x:v>Alta</x:v>
      </x:c>
      <x:c r="S41" s="63" t="str">
        <x:v>Executivos, gerentes, vendedores e profissionais automotivos</x:v>
      </x:c>
      <x:c r="T41" s="63" t="str">
        <x:v>Baixo</x:v>
      </x:c>
      <x:c r="U41" s="63" t="str">
        <x:v>Cargo e conteúdo indicam atuação direta em gestão/operação de concessionárias.</x:v>
      </x:c>
      <x:c r="V41" s="63" t="str">
        <x:v>Apify · Instagram Scraper</x:v>
      </x:c>
      <x:c r="W41" s="63" t="str">
        <x:v>2026-10-07</x:v>
      </x:c>
    </x:row>
    <x:row r="42">
      <x:c r="A42" s="64" t="n">
        <x:v>33</x:v>
      </x:c>
      <x:c r="B42" s="64" t="str">
        <x:v>A</x:v>
      </x:c>
      <x:c r="C42" s="64" t="str">
        <x:v>Sim — coleta</x:v>
      </x:c>
      <x:c r="D42" s="64" t="n">
        <x:v>72</x:v>
      </x:c>
      <x:c r="E42" s="63" t="str">
        <x:v>Tecnologia / serviço B2B</x:v>
      </x:c>
      <x:c r="F42" s="63" t="str">
        <x:v>Dealernet</x:v>
      </x:c>
      <x:c r="G42" s="63" t="str">
        <x:v>@dealernetbrasil</x:v>
      </x:c>
      <x:c r="H42" s="63" t="str">
        <x:v>https://www.instagram.com/dealernetbrasil</x:v>
      </x:c>
      <x:c r="I42" s="63" t="str">
        <x:v>Somos uma empresa de #TI, líder em prover soluções inovadoras para #concessionárias de #veículos. �Conheça o #Dealernet #Workflow.</x:v>
      </x:c>
      <x:c r="J42" s="83" t="n">
        <x:v>4184</x:v>
      </x:c>
      <x:c r="K42" s="83" t="n">
        <x:v>274</x:v>
      </x:c>
      <x:c r="L42" s="64" t="str">
        <x:v>Sim</x:v>
      </x:c>
      <x:c r="M42" s="64" t="str">
        <x:v>Não</x:v>
      </x:c>
      <x:c r="N42" s="64" t="str">
        <x:v>2025-11-25</x:v>
      </x:c>
      <x:c r="O42" s="64" t="str">
        <x:v>Desatualizado &gt;90d</x:v>
      </x:c>
      <x:c r="P42" s="83" t="n">
        <x:v>3</x:v>
      </x:c>
      <x:c r="Q42" s="84" t="n">
        <x:v>0.4</x:v>
      </x:c>
      <x:c r="R42" s="64" t="str">
        <x:v>Alta</x:v>
      </x:c>
      <x:c r="S42" s="63" t="str">
        <x:v>Gestão, operações, CRM/BDC, marketing e vendas automotivas</x:v>
      </x:c>
      <x:c r="T42" s="63" t="str">
        <x:v>Baixo</x:v>
      </x:c>
      <x:c r="U42" s="63" t="str">
        <x:v>Solução voltada ao ecossistema automotivo; seguidores tendem a incluir gestores e operadores.</x:v>
      </x:c>
      <x:c r="V42" s="63" t="str">
        <x:v>Apify · Instagram Scraper</x:v>
      </x:c>
      <x:c r="W42" s="63" t="str">
        <x:v>2026-10-07</x:v>
      </x:c>
    </x:row>
    <x:row r="43">
      <x:c r="A43" s="64" t="n">
        <x:v>34</x:v>
      </x:c>
      <x:c r="B43" s="64" t="str">
        <x:v>B</x:v>
      </x:c>
      <x:c r="C43" s="64" t="str">
        <x:v>Teste controlado</x:v>
      </x:c>
      <x:c r="D43" s="64" t="n">
        <x:v>77</x:v>
      </x:c>
      <x:c r="E43" s="63" t="str">
        <x:v>Marketing / geração de demanda</x:v>
      </x:c>
      <x:c r="F43" s="63" t="str">
        <x:v>João Luvi • Marketing Automotivo</x:v>
      </x:c>
      <x:c r="G43" s="63" t="str">
        <x:v>@joaoluvi</x:v>
      </x:c>
      <x:c r="H43" s="63" t="str">
        <x:v>https://www.instagram.com/joaoluvi</x:v>
      </x:c>
      <x:c r="I43" s="63" t="str">
        <x:v>🏎️ Marketing para vendedores e lojas de carros. 👇 Aqui</x:v>
      </x:c>
      <x:c r="J43" s="83" t="n">
        <x:v>57559</x:v>
      </x:c>
      <x:c r="K43" s="83" t="n">
        <x:v>595</x:v>
      </x:c>
      <x:c r="L43" s="64" t="str">
        <x:v>Não</x:v>
      </x:c>
      <x:c r="M43" s="64" t="str">
        <x:v>Sim</x:v>
      </x:c>
      <x:c r="N43" s="64" t="str">
        <x:v>2026-09-28</x:v>
      </x:c>
      <x:c r="O43" s="64" t="str">
        <x:v>Ativo ≤30d</x:v>
      </x:c>
      <x:c r="P43" s="83" t="n">
        <x:v>468</x:v>
      </x:c>
      <x:c r="Q43" s="84" t="n">
        <x:v>69.1</x:v>
      </x:c>
      <x:c r="R43" s="64" t="str">
        <x:v>Média</x:v>
      </x:c>
      <x:c r="S43" s="63" t="str">
        <x:v>Lojistas, concessionárias, vendedores e gestores comerciais</x:v>
      </x:c>
      <x:c r="T43" s="63" t="str">
        <x:v>Médio</x:v>
      </x:c>
      <x:c r="U43" s="63" t="str">
        <x:v>Aderência útil, mas exige validar cargo/empresa dos engajados.</x:v>
      </x:c>
      <x:c r="V43" s="63" t="str">
        <x:v>Apify · Instagram Scraper</x:v>
      </x:c>
      <x:c r="W43" s="63" t="str">
        <x:v>2026-10-07</x:v>
      </x:c>
    </x:row>
    <x:row r="44">
      <x:c r="A44" s="64" t="n">
        <x:v>35</x:v>
      </x:c>
      <x:c r="B44" s="64" t="str">
        <x:v>B</x:v>
      </x:c>
      <x:c r="C44" s="64" t="str">
        <x:v>Teste controlado</x:v>
      </x:c>
      <x:c r="D44" s="64" t="n">
        <x:v>77</x:v>
      </x:c>
      <x:c r="E44" s="63" t="str">
        <x:v>Tecnologia / serviço B2B</x:v>
      </x:c>
      <x:c r="F44" s="63" t="str">
        <x:v>Autoconf | Sistema de gestão para revenda de veículos</x:v>
      </x:c>
      <x:c r="G44" s="63" t="str">
        <x:v>@autoconfbr</x:v>
      </x:c>
      <x:c r="H44" s="63" t="str">
        <x:v>https://www.instagram.com/autoconfbr</x:v>
      </x:c>
      <x:c r="I44" s="63" t="str">
        <x:v>Sistema completo de gestão para lojas de carros 🚗 Democrático | Rentável | Independente 📊 Gestão de vendas, estoque e financiamentos em um só lugar</x:v>
      </x:c>
      <x:c r="J44" s="83" t="n">
        <x:v>29677</x:v>
      </x:c>
      <x:c r="K44" s="83" t="n">
        <x:v>1294</x:v>
      </x:c>
      <x:c r="L44" s="64" t="str">
        <x:v>Não</x:v>
      </x:c>
      <x:c r="M44" s="64" t="str">
        <x:v>Não</x:v>
      </x:c>
      <x:c r="N44" s="64" t="str">
        <x:v>2026-10-07</x:v>
      </x:c>
      <x:c r="O44" s="64" t="str">
        <x:v>Ativo ≤30d</x:v>
      </x:c>
      <x:c r="P44" s="83" t="n">
        <x:v>332</x:v>
      </x:c>
      <x:c r="Q44" s="84" t="n">
        <x:v>39.8</x:v>
      </x:c>
      <x:c r="R44" s="64" t="str">
        <x:v>Média</x:v>
      </x:c>
      <x:c r="S44" s="63" t="str">
        <x:v>Gestão, operações, CRM/BDC, marketing e vendas automotivas</x:v>
      </x:c>
      <x:c r="T44" s="63" t="str">
        <x:v>Médio</x:v>
      </x:c>
      <x:c r="U44" s="63" t="str">
        <x:v>Solução voltada ao ecossistema automotivo; seguidores tendem a incluir gestores e operadores.</x:v>
      </x:c>
      <x:c r="V44" s="63" t="str">
        <x:v>Apify · Instagram Scraper</x:v>
      </x:c>
      <x:c r="W44" s="63" t="str">
        <x:v>2026-10-07</x:v>
      </x:c>
    </x:row>
    <x:row r="45">
      <x:c r="A45" s="64" t="n">
        <x:v>36</x:v>
      </x:c>
      <x:c r="B45" s="64" t="str">
        <x:v>B</x:v>
      </x:c>
      <x:c r="C45" s="64" t="str">
        <x:v>Teste controlado</x:v>
      </x:c>
      <x:c r="D45" s="64" t="n">
        <x:v>77</x:v>
      </x:c>
      <x:c r="E45" s="63" t="str">
        <x:v>Educação / consultoria</x:v>
      </x:c>
      <x:c r="F45" s="63" t="str">
        <x:v>IEV</x:v>
      </x:c>
      <x:c r="G45" s="63" t="str">
        <x:v>@iev.vendas</x:v>
      </x:c>
      <x:c r="H45" s="63" t="str">
        <x:v>https://www.instagram.com/iev.vendas</x:v>
      </x:c>
      <x:c r="I45" s="63" t="str">
        <x:v>A capacitação de equipes comerciais mais completa do Brasil 🏆 +2.000 empresas atendidas</x:v>
      </x:c>
      <x:c r="J45" s="83" t="n">
        <x:v>42589</x:v>
      </x:c>
      <x:c r="K45" s="83" t="n">
        <x:v>722</x:v>
      </x:c>
      <x:c r="L45" s="64" t="str">
        <x:v>Não</x:v>
      </x:c>
      <x:c r="M45" s="64" t="str">
        <x:v>Não</x:v>
      </x:c>
      <x:c r="N45" s="64" t="str">
        <x:v>2026-10-02</x:v>
      </x:c>
      <x:c r="O45" s="64" t="str">
        <x:v>Ativo ≤30d</x:v>
      </x:c>
      <x:c r="P45" s="83" t="n">
        <x:v>28</x:v>
      </x:c>
      <x:c r="Q45" s="84" t="n">
        <x:v>3.7</x:v>
      </x:c>
      <x:c r="R45" s="64" t="str">
        <x:v>Média</x:v>
      </x:c>
      <x:c r="S45" s="63" t="str">
        <x:v>Donos, líderes e equipes de concessionárias e varejo automotivo</x:v>
      </x:c>
      <x:c r="T45" s="63" t="str">
        <x:v>Médio</x:v>
      </x:c>
      <x:c r="U45" s="63" t="str">
        <x:v>Aderência útil, mas exige validar cargo/empresa dos engajados.</x:v>
      </x:c>
      <x:c r="V45" s="63" t="str">
        <x:v>Apify · Instagram Scraper</x:v>
      </x:c>
      <x:c r="W45" s="63" t="str">
        <x:v>2026-10-07</x:v>
      </x:c>
    </x:row>
    <x:row r="46">
      <x:c r="A46" s="64" t="n">
        <x:v>37</x:v>
      </x:c>
      <x:c r="B46" s="64" t="str">
        <x:v>B</x:v>
      </x:c>
      <x:c r="C46" s="64" t="str">
        <x:v>Teste controlado</x:v>
      </x:c>
      <x:c r="D46" s="64" t="n">
        <x:v>74</x:v>
      </x:c>
      <x:c r="E46" s="63" t="str">
        <x:v>Pessoa / executivo automotivo</x:v>
      </x:c>
      <x:c r="F46" s="63" t="str">
        <x:v>Luiz Ramos | Gerente Comercial</x:v>
      </x:c>
      <x:c r="G46" s="63" t="str">
        <x:v>@luizramosbiriba</x:v>
      </x:c>
      <x:c r="H46" s="63" t="str">
        <x:v>https://www.instagram.com/luizramosbiriba</x:v>
      </x:c>
      <x:c r="I46" s="63" t="str">
        <x:v>💼Executivo por essência, 🧑‍🧑‍🧒Foco no que realmente importa: Família, trabalho, saúde e crença 🚀Transformando rotina em resultados Acompanhe a jornada</x:v>
      </x:c>
      <x:c r="J46" s="83" t="n">
        <x:v>1207</x:v>
      </x:c>
      <x:c r="K46" s="83" t="n">
        <x:v>331</x:v>
      </x:c>
      <x:c r="L46" s="64" t="str">
        <x:v>Sim</x:v>
      </x:c>
      <x:c r="M46" s="64" t="str">
        <x:v>Não</x:v>
      </x:c>
      <x:c r="N46" s="64" t="str">
        <x:v>2026-09-24</x:v>
      </x:c>
      <x:c r="O46" s="64" t="str">
        <x:v>Ativo ≤30d</x:v>
      </x:c>
      <x:c r="P46" s="83" t="n">
        <x:v>75</x:v>
      </x:c>
      <x:c r="Q46" s="84" t="n">
        <x:v>10.2</x:v>
      </x:c>
      <x:c r="R46" s="64" t="str">
        <x:v>Média</x:v>
      </x:c>
      <x:c r="S46" s="63" t="str">
        <x:v>Executivos, gerentes, vendedores e profissionais automotivos</x:v>
      </x:c>
      <x:c r="T46" s="63" t="str">
        <x:v>Médio</x:v>
      </x:c>
      <x:c r="U46" s="63" t="str">
        <x:v>Aderência útil, mas exige validar cargo/empresa dos engajados.</x:v>
      </x:c>
      <x:c r="V46" s="63" t="str">
        <x:v>Apify · Instagram Scraper</x:v>
      </x:c>
      <x:c r="W46" s="63" t="str">
        <x:v>2026-10-07</x:v>
      </x:c>
    </x:row>
    <x:row r="47">
      <x:c r="A47" s="64" t="n">
        <x:v>38</x:v>
      </x:c>
      <x:c r="B47" s="64" t="str">
        <x:v>B</x:v>
      </x:c>
      <x:c r="C47" s="64" t="str">
        <x:v>Teste controlado</x:v>
      </x:c>
      <x:c r="D47" s="64" t="n">
        <x:v>74</x:v>
      </x:c>
      <x:c r="E47" s="63" t="str">
        <x:v>Associação / entidade</x:v>
      </x:c>
      <x:c r="F47" s="63" t="str">
        <x:v>Regional Fenabrave Ceará / Sincodiv Ceará</x:v>
      </x:c>
      <x:c r="G47" s="63" t="str">
        <x:v>@fenabravece</x:v>
      </x:c>
      <x:c r="H47" s="63" t="str">
        <x:v>https://www.instagram.com/fenabravece</x:v>
      </x:c>
      <x:c r="I47" s="63" t="str">
        <x:v>🔹️Federação Nacional da Distribuição de Veículos Automotores - Regional Ceará 🔹️Sindicato dos Concessionários e Distribuidores de Veículos do Ceará</x:v>
      </x:c>
      <x:c r="J47" s="83" t="n">
        <x:v>1172</x:v>
      </x:c>
      <x:c r="K47" s="83" t="n">
        <x:v>556</x:v>
      </x:c>
      <x:c r="L47" s="64" t="str">
        <x:v>Sim</x:v>
      </x:c>
      <x:c r="M47" s="64" t="str">
        <x:v>Não</x:v>
      </x:c>
      <x:c r="N47" s="64" t="str">
        <x:v>2026-10-06</x:v>
      </x:c>
      <x:c r="O47" s="64" t="str">
        <x:v>Ativo ≤30d</x:v>
      </x:c>
      <x:c r="P47" s="83" t="n">
        <x:v>62</x:v>
      </x:c>
      <x:c r="Q47" s="84" t="n">
        <x:v>9.9</x:v>
      </x:c>
      <x:c r="R47" s="64" t="str">
        <x:v>Média</x:v>
      </x:c>
      <x:c r="S47" s="63" t="str">
        <x:v>Concessionários, distribuidores, dirigentes e gestores</x:v>
      </x:c>
      <x:c r="T47" s="63" t="str">
        <x:v>Médio</x:v>
      </x:c>
      <x:c r="U47" s="63" t="str">
        <x:v>Concentra concessionários e gestores; boa fonte de eventos, dirigentes e comentários profissionais.</x:v>
      </x:c>
      <x:c r="V47" s="63" t="str">
        <x:v>Apify · Instagram Scraper</x:v>
      </x:c>
      <x:c r="W47" s="63" t="str">
        <x:v>2026-10-07</x:v>
      </x:c>
    </x:row>
    <x:row r="48">
      <x:c r="A48" s="64" t="n">
        <x:v>39</x:v>
      </x:c>
      <x:c r="B48" s="64" t="str">
        <x:v>B</x:v>
      </x:c>
      <x:c r="C48" s="64" t="str">
        <x:v>Teste controlado</x:v>
      </x:c>
      <x:c r="D48" s="64" t="n">
        <x:v>74</x:v>
      </x:c>
      <x:c r="E48" s="63" t="str">
        <x:v>Marketing / geração de demanda</x:v>
      </x:c>
      <x:c r="F48" s="63" t="str">
        <x:v>Raí Rodrigues | Marketing Automotivo</x:v>
      </x:c>
      <x:c r="G48" s="63" t="str">
        <x:v>@eusourairodrigues</x:v>
      </x:c>
      <x:c r="H48" s="63" t="str">
        <x:v>https://www.instagram.com/eusourairodrigues</x:v>
      </x:c>
      <x:c r="I48" s="63" t="str">
        <x:v>🚗 Marketing que Gera Clientes para Ramo Automotivo 📈 +993 Empresas Atendidas 🚀 Me Segue e Aprende a Vender Todo Dia</x:v>
      </x:c>
      <x:c r="J48" s="83" t="n">
        <x:v>7382</x:v>
      </x:c>
      <x:c r="K48" s="83" t="n">
        <x:v>400</x:v>
      </x:c>
      <x:c r="L48" s="64" t="str">
        <x:v>Sim</x:v>
      </x:c>
      <x:c r="M48" s="64" t="str">
        <x:v>Não</x:v>
      </x:c>
      <x:c r="N48" s="64" t="str">
        <x:v>2026-10-07</x:v>
      </x:c>
      <x:c r="O48" s="64" t="str">
        <x:v>Ativo ≤30d</x:v>
      </x:c>
      <x:c r="P48" s="83" t="n">
        <x:v>32</x:v>
      </x:c>
      <x:c r="Q48" s="84" t="n">
        <x:v>3.4</x:v>
      </x:c>
      <x:c r="R48" s="64" t="str">
        <x:v>Média</x:v>
      </x:c>
      <x:c r="S48" s="63" t="str">
        <x:v>Lojistas, concessionárias, vendedores e gestores comerciais</x:v>
      </x:c>
      <x:c r="T48" s="63" t="str">
        <x:v>Médio</x:v>
      </x:c>
      <x:c r="U48" s="63" t="str">
        <x:v>Aderência útil, mas exige validar cargo/empresa dos engajados.</x:v>
      </x:c>
      <x:c r="V48" s="63" t="str">
        <x:v>Apify · Instagram Scraper</x:v>
      </x:c>
      <x:c r="W48" s="63" t="str">
        <x:v>2026-10-07</x:v>
      </x:c>
    </x:row>
    <x:row r="49">
      <x:c r="A49" s="64" t="n">
        <x:v>40</x:v>
      </x:c>
      <x:c r="B49" s="64" t="str">
        <x:v>B</x:v>
      </x:c>
      <x:c r="C49" s="64" t="str">
        <x:v>Teste controlado</x:v>
      </x:c>
      <x:c r="D49" s="64" t="n">
        <x:v>74</x:v>
      </x:c>
      <x:c r="E49" s="63" t="str">
        <x:v>Associação / entidade</x:v>
      </x:c>
      <x:c r="F49" s="63" t="str">
        <x:v>Sincodiv-DF</x:v>
      </x:c>
      <x:c r="G49" s="63" t="str">
        <x:v>@sincodiv.df</x:v>
      </x:c>
      <x:c r="H49" s="63" t="str">
        <x:v>https://www.instagram.com/sincodiv.df</x:v>
      </x:c>
      <x:c r="I49" s="63" t="str">
        <x:v>Sindicato dos Concessionários e Distribuidores de Veículos do Distrito Federal ☎️ (61) 3361-0000</x:v>
      </x:c>
      <x:c r="J49" s="83" t="n">
        <x:v>484</x:v>
      </x:c>
      <x:c r="K49" s="83" t="n">
        <x:v>241</x:v>
      </x:c>
      <x:c r="L49" s="64" t="str">
        <x:v>Sim</x:v>
      </x:c>
      <x:c r="M49" s="64" t="str">
        <x:v>Não</x:v>
      </x:c>
      <x:c r="N49" s="64" t="str">
        <x:v>2026-10-07</x:v>
      </x:c>
      <x:c r="O49" s="64" t="str">
        <x:v>Ativo ≤30d</x:v>
      </x:c>
      <x:c r="P49" s="83" t="n">
        <x:v>28</x:v>
      </x:c>
      <x:c r="Q49" s="84" t="n">
        <x:v>5.3</x:v>
      </x:c>
      <x:c r="R49" s="64" t="str">
        <x:v>Média</x:v>
      </x:c>
      <x:c r="S49" s="63" t="str">
        <x:v>Concessionários, distribuidores, dirigentes e gestores</x:v>
      </x:c>
      <x:c r="T49" s="63" t="str">
        <x:v>Médio</x:v>
      </x:c>
      <x:c r="U49" s="63" t="str">
        <x:v>Concentra concessionários e gestores; boa fonte de eventos, dirigentes e comentários profissionais.</x:v>
      </x:c>
      <x:c r="V49" s="63" t="str">
        <x:v>Apify · Instagram Scraper</x:v>
      </x:c>
      <x:c r="W49" s="63" t="str">
        <x:v>2026-10-07</x:v>
      </x:c>
    </x:row>
    <x:row r="50">
      <x:c r="A50" s="64" t="n">
        <x:v>41</x:v>
      </x:c>
      <x:c r="B50" s="64" t="str">
        <x:v>B</x:v>
      </x:c>
      <x:c r="C50" s="64" t="str">
        <x:v>Teste controlado</x:v>
      </x:c>
      <x:c r="D50" s="64" t="n">
        <x:v>74</x:v>
      </x:c>
      <x:c r="E50" s="63" t="str">
        <x:v>Educação / consultoria</x:v>
      </x:c>
      <x:c r="F50" s="63" t="str">
        <x:v>Especialista no Mercado Automotivo</x:v>
      </x:c>
      <x:c r="G50" s="63" t="str">
        <x:v>@marciorodriguesmentor</x:v>
      </x:c>
      <x:c r="H50" s="63" t="str">
        <x:v>https://www.instagram.com/marciorodriguesmentor</x:v>
      </x:c>
      <x:c r="I50" s="63" t="str">
        <x:v>📈 Experiência real como Gerente Comercial 🚗 Milhões gerados em vendas por equipe treinadas</x:v>
      </x:c>
      <x:c r="J50" s="83" t="n">
        <x:v>2657</x:v>
      </x:c>
      <x:c r="K50" s="83" t="n">
        <x:v>446</x:v>
      </x:c>
      <x:c r="L50" s="64" t="str">
        <x:v>Não</x:v>
      </x:c>
      <x:c r="M50" s="64" t="str">
        <x:v>Não</x:v>
      </x:c>
      <x:c r="N50" s="64" t="str">
        <x:v>2026-10-06</x:v>
      </x:c>
      <x:c r="O50" s="64" t="str">
        <x:v>Ativo ≤30d</x:v>
      </x:c>
      <x:c r="P50" s="83" t="n">
        <x:v>26</x:v>
      </x:c>
      <x:c r="Q50" s="84" t="n">
        <x:v>2.4</x:v>
      </x:c>
      <x:c r="R50" s="64" t="str">
        <x:v>Média</x:v>
      </x:c>
      <x:c r="S50" s="63" t="str">
        <x:v>Donos, líderes e equipes de concessionárias e varejo automotivo</x:v>
      </x:c>
      <x:c r="T50" s="63" t="str">
        <x:v>Médio</x:v>
      </x:c>
      <x:c r="U50" s="63" t="str">
        <x:v>Aderência útil, mas exige validar cargo/empresa dos engajados.</x:v>
      </x:c>
      <x:c r="V50" s="63" t="str">
        <x:v>Apify · Instagram Scraper</x:v>
      </x:c>
      <x:c r="W50" s="63" t="str">
        <x:v>2026-10-07</x:v>
      </x:c>
    </x:row>
    <x:row r="51">
      <x:c r="A51" s="64" t="n">
        <x:v>42</x:v>
      </x:c>
      <x:c r="B51" s="64" t="str">
        <x:v>B</x:v>
      </x:c>
      <x:c r="C51" s="64" t="str">
        <x:v>Teste controlado</x:v>
      </x:c>
      <x:c r="D51" s="64" t="n">
        <x:v>71</x:v>
      </x:c>
      <x:c r="E51" s="63" t="str">
        <x:v>Associação / entidade</x:v>
      </x:c>
      <x:c r="F51" s="63" t="str">
        <x:v>Sincodiv-SE</x:v>
      </x:c>
      <x:c r="G51" s="63" t="str">
        <x:v>@sincodivse</x:v>
      </x:c>
      <x:c r="H51" s="63" t="str">
        <x:v>https://www.instagram.com/sincodivse</x:v>
      </x:c>
      <x:c r="I51" s="63" t="str">
        <x:v>Sindicato das Concessionárias e Distribuidores de Veículos 🚘🚌🏍🚚🚜 📍 Sergipe 📞 (79) 3214-9711</x:v>
      </x:c>
      <x:c r="J51" s="83" t="n">
        <x:v>2892</x:v>
      </x:c>
      <x:c r="K51" s="83" t="n">
        <x:v>1498</x:v>
      </x:c>
      <x:c r="L51" s="64" t="str">
        <x:v>Sim</x:v>
      </x:c>
      <x:c r="M51" s="64" t="str">
        <x:v>Não</x:v>
      </x:c>
      <x:c r="N51" s="64" t="str">
        <x:v>2026-09-21</x:v>
      </x:c>
      <x:c r="O51" s="64" t="str">
        <x:v>Ativo ≤30d</x:v>
      </x:c>
      <x:c r="P51" s="83" t="n">
        <x:v>12</x:v>
      </x:c>
      <x:c r="Q51" s="84" t="n">
        <x:v>3.3</x:v>
      </x:c>
      <x:c r="R51" s="64" t="str">
        <x:v>Média</x:v>
      </x:c>
      <x:c r="S51" s="63" t="str">
        <x:v>Concessionários, distribuidores, dirigentes e gestores</x:v>
      </x:c>
      <x:c r="T51" s="63" t="str">
        <x:v>Médio</x:v>
      </x:c>
      <x:c r="U51" s="63" t="str">
        <x:v>Concentra concessionários e gestores; boa fonte de eventos, dirigentes e comentários profissionais.</x:v>
      </x:c>
      <x:c r="V51" s="63" t="str">
        <x:v>Apify · Instagram Scraper</x:v>
      </x:c>
      <x:c r="W51" s="63" t="str">
        <x:v>2026-10-07</x:v>
      </x:c>
    </x:row>
    <x:row r="52">
      <x:c r="A52" s="64" t="n">
        <x:v>43</x:v>
      </x:c>
      <x:c r="B52" s="64" t="str">
        <x:v>B</x:v>
      </x:c>
      <x:c r="C52" s="64" t="str">
        <x:v>Teste controlado</x:v>
      </x:c>
      <x:c r="D52" s="64" t="n">
        <x:v>71</x:v>
      </x:c>
      <x:c r="E52" s="63" t="str">
        <x:v>Mídia / podcast</x:v>
      </x:c>
      <x:c r="F52" s="63" t="str">
        <x:v>Novo Varejo Automotivo</x:v>
      </x:c>
      <x:c r="G52" s="63" t="str">
        <x:v>@novovarejo.automotivo</x:v>
      </x:c>
      <x:c r="H52" s="63" t="str">
        <x:v>https://www.instagram.com/novovarejo.automotivo</x:v>
      </x:c>
      <x:c r="I52" s="63" t="str">
        <x:v>🏆Desde 1994, conectando e informando o varejo automotivo 🏢 Uma empresa @aftermarket.automotivo ↓ Confira abaixo nossas edições, matérias e conteúdos</x:v>
      </x:c>
      <x:c r="J52" s="83" t="n">
        <x:v>9467</x:v>
      </x:c>
      <x:c r="K52" s="83" t="n">
        <x:v>2135</x:v>
      </x:c>
      <x:c r="L52" s="64" t="str">
        <x:v>Não</x:v>
      </x:c>
      <x:c r="M52" s="64" t="str">
        <x:v>Não</x:v>
      </x:c>
      <x:c r="N52" s="64" t="str">
        <x:v>2026-10-02</x:v>
      </x:c>
      <x:c r="O52" s="64" t="str">
        <x:v>Ativo ≤30d</x:v>
      </x:c>
      <x:c r="P52" s="83" t="n">
        <x:v>10</x:v>
      </x:c>
      <x:c r="Q52" s="84" t="n">
        <x:v>2.3</x:v>
      </x:c>
      <x:c r="R52" s="64" t="str">
        <x:v>Média</x:v>
      </x:c>
      <x:c r="S52" s="63" t="str">
        <x:v>Executivos, gestores e profissionais do setor automotivo</x:v>
      </x:c>
      <x:c r="T52" s="63" t="str">
        <x:v>Médio</x:v>
      </x:c>
      <x:c r="U52" s="63" t="str">
        <x:v>Aderência útil, mas exige validar cargo/empresa dos engajados.</x:v>
      </x:c>
      <x:c r="V52" s="63" t="str">
        <x:v>Apify · Instagram Scraper</x:v>
      </x:c>
      <x:c r="W52" s="63" t="str">
        <x:v>2026-10-07</x:v>
      </x:c>
    </x:row>
    <x:row r="53">
      <x:c r="A53" s="64" t="n">
        <x:v>44</x:v>
      </x:c>
      <x:c r="B53" s="64" t="str">
        <x:v>B</x:v>
      </x:c>
      <x:c r="C53" s="64" t="str">
        <x:v>Teste controlado</x:v>
      </x:c>
      <x:c r="D53" s="64" t="n">
        <x:v>71</x:v>
      </x:c>
      <x:c r="E53" s="63" t="str">
        <x:v>Associação / entidade</x:v>
      </x:c>
      <x:c r="F53" s="63" t="str">
        <x:v>Sindicato dos Concessionários e Distribuidores de Veículos de AL</x:v>
      </x:c>
      <x:c r="G53" s="63" t="str">
        <x:v>@sincodivalagoas</x:v>
      </x:c>
      <x:c r="H53" s="63" t="str">
        <x:v>https://www.instagram.com/sincodivalagoas</x:v>
      </x:c>
      <x:c r="I53" s="63" t="str">
        <x:v>SINCODIV/AL | Entidade patronal do setor automotivo alagoano. Realizadora do Grande Encontro das Concessionárias. ASCOM: sincodiv.al@gmail.com</x:v>
      </x:c>
      <x:c r="J53" s="83" t="n">
        <x:v>1615</x:v>
      </x:c>
      <x:c r="K53" s="83" t="n">
        <x:v>193</x:v>
      </x:c>
      <x:c r="L53" s="64" t="str">
        <x:v>Sim</x:v>
      </x:c>
      <x:c r="M53" s="64" t="str">
        <x:v>Não</x:v>
      </x:c>
      <x:c r="N53" s="64" t="str">
        <x:v>2026-09-29</x:v>
      </x:c>
      <x:c r="O53" s="64" t="str">
        <x:v>Ativo ≤30d</x:v>
      </x:c>
      <x:c r="P53" s="83" t="n">
        <x:v>8</x:v>
      </x:c>
      <x:c r="Q53" s="84" t="n">
        <x:v>2.9</x:v>
      </x:c>
      <x:c r="R53" s="64" t="str">
        <x:v>Média</x:v>
      </x:c>
      <x:c r="S53" s="63" t="str">
        <x:v>Concessionários, distribuidores, dirigentes e gestores</x:v>
      </x:c>
      <x:c r="T53" s="63" t="str">
        <x:v>Médio</x:v>
      </x:c>
      <x:c r="U53" s="63" t="str">
        <x:v>Concentra concessionários e gestores; boa fonte de eventos, dirigentes e comentários profissionais.</x:v>
      </x:c>
      <x:c r="V53" s="63" t="str">
        <x:v>Apify · Instagram Scraper</x:v>
      </x:c>
      <x:c r="W53" s="63" t="str">
        <x:v>2026-10-07</x:v>
      </x:c>
    </x:row>
    <x:row r="54">
      <x:c r="A54" s="64" t="n">
        <x:v>45</x:v>
      </x:c>
      <x:c r="B54" s="64" t="str">
        <x:v>B</x:v>
      </x:c>
      <x:c r="C54" s="64" t="str">
        <x:v>Teste controlado</x:v>
      </x:c>
      <x:c r="D54" s="64" t="n">
        <x:v>71</x:v>
      </x:c>
      <x:c r="E54" s="63" t="str">
        <x:v>Educação / consultoria</x:v>
      </x:c>
      <x:c r="F54" s="63" t="str">
        <x:v>Universidade do Automóvel</x:v>
      </x:c>
      <x:c r="G54" s="63" t="str">
        <x:v>@universidadedoautomovel</x:v>
      </x:c>
      <x:c r="H54" s="63" t="str">
        <x:v>https://www.instagram.com/universidadedoautomovel</x:v>
      </x:c>
      <x:c r="I54" s="63" t="str">
        <x:v>A Universidade do Automóvel atua desde 2017 com treinamentos e consultoria em vendas e pós-vendas para o setor automotivo. Veículos Otto e Diesel.</x:v>
      </x:c>
      <x:c r="J54" s="83" t="n">
        <x:v>3137</x:v>
      </x:c>
      <x:c r="K54" s="83" t="n">
        <x:v>930</x:v>
      </x:c>
      <x:c r="L54" s="64" t="str">
        <x:v>Sim</x:v>
      </x:c>
      <x:c r="M54" s="64" t="str">
        <x:v>Não</x:v>
      </x:c>
      <x:c r="N54" s="64" t="str">
        <x:v>2026-10-07</x:v>
      </x:c>
      <x:c r="O54" s="64" t="str">
        <x:v>Ativo ≤30d</x:v>
      </x:c>
      <x:c r="P54" s="83" t="n">
        <x:v>7</x:v>
      </x:c>
      <x:c r="Q54" s="84" t="n">
        <x:v>1.3</x:v>
      </x:c>
      <x:c r="R54" s="64" t="str">
        <x:v>Média</x:v>
      </x:c>
      <x:c r="S54" s="63" t="str">
        <x:v>Donos, líderes e equipes de concessionárias e varejo automotivo</x:v>
      </x:c>
      <x:c r="T54" s="63" t="str">
        <x:v>Médio</x:v>
      </x:c>
      <x:c r="U54" s="63" t="str">
        <x:v>Aderência útil, mas exige validar cargo/empresa dos engajados.</x:v>
      </x:c>
      <x:c r="V54" s="63" t="str">
        <x:v>Apify · Instagram Scraper</x:v>
      </x:c>
      <x:c r="W54" s="63" t="str">
        <x:v>2026-10-07</x:v>
      </x:c>
    </x:row>
    <x:row r="55">
      <x:c r="A55" s="64" t="n">
        <x:v>46</x:v>
      </x:c>
      <x:c r="B55" s="64" t="str">
        <x:v>B</x:v>
      </x:c>
      <x:c r="C55" s="64" t="str">
        <x:v>Teste controlado</x:v>
      </x:c>
      <x:c r="D55" s="64" t="n">
        <x:v>71</x:v>
      </x:c>
      <x:c r="E55" s="63" t="str">
        <x:v>Associação / entidade</x:v>
      </x:c>
      <x:c r="F55" s="63" t="str">
        <x:v>Unimassey</x:v>
      </x:c>
      <x:c r="G55" s="63" t="str">
        <x:v>@redeunimassey</x:v>
      </x:c>
      <x:c r="H55" s="63" t="str">
        <x:v>https://www.instagram.com/redeunimassey</x:v>
      </x:c>
      <x:c r="I55" s="63" t="str">
        <x:v>Associação Nacional dos Distribuidores Massey Ferguson</x:v>
      </x:c>
      <x:c r="J55" s="83" t="n">
        <x:v>1690</x:v>
      </x:c>
      <x:c r="K55" s="83" t="n">
        <x:v>686</x:v>
      </x:c>
      <x:c r="L55" s="64" t="str">
        <x:v>Sim</x:v>
      </x:c>
      <x:c r="M55" s="64" t="str">
        <x:v>Não</x:v>
      </x:c>
      <x:c r="N55" s="64" t="str">
        <x:v>2026-10-07</x:v>
      </x:c>
      <x:c r="O55" s="64" t="str">
        <x:v>Ativo ≤30d</x:v>
      </x:c>
      <x:c r="P55" s="83" t="n">
        <x:v>5</x:v>
      </x:c>
      <x:c r="Q55" s="84" t="n">
        <x:v>1.3</x:v>
      </x:c>
      <x:c r="R55" s="64" t="str">
        <x:v>Média</x:v>
      </x:c>
      <x:c r="S55" s="63" t="str">
        <x:v>Concessionários, distribuidores, dirigentes e gestores</x:v>
      </x:c>
      <x:c r="T55" s="63" t="str">
        <x:v>Médio</x:v>
      </x:c>
      <x:c r="U55" s="63" t="str">
        <x:v>Concentra concessionários e gestores; boa fonte de eventos, dirigentes e comentários profissionais.</x:v>
      </x:c>
      <x:c r="V55" s="63" t="str">
        <x:v>Apify · Instagram Scraper</x:v>
      </x:c>
      <x:c r="W55" s="63" t="str">
        <x:v>2026-10-07</x:v>
      </x:c>
    </x:row>
    <x:row r="56">
      <x:c r="A56" s="64" t="n">
        <x:v>47</x:v>
      </x:c>
      <x:c r="B56" s="64" t="str">
        <x:v>B</x:v>
      </x:c>
      <x:c r="C56" s="64" t="str">
        <x:v>Teste controlado</x:v>
      </x:c>
      <x:c r="D56" s="64" t="n">
        <x:v>71</x:v>
      </x:c>
      <x:c r="E56" s="63" t="str">
        <x:v>Associação / entidade</x:v>
      </x:c>
      <x:c r="F56" s="63" t="str">
        <x:v>Fenauto Oficial</x:v>
      </x:c>
      <x:c r="G56" s="63" t="str">
        <x:v>@fenautooficial</x:v>
      </x:c>
      <x:c r="H56" s="63" t="str">
        <x:v>https://www.instagram.com/fenautooficial</x:v>
      </x:c>
      <x:c r="I56" s="63" t="str">
        <x:v>🚘 Queremos ser o suporte para que os lojistas de automóveis seminovos, estejam seguros com seus negócios! 👇🏻Como se associar a Fenauto</x:v>
      </x:c>
      <x:c r="J56" s="83" t="n">
        <x:v>22628</x:v>
      </x:c>
      <x:c r="K56" s="83" t="n">
        <x:v>1413</x:v>
      </x:c>
      <x:c r="L56" s="64" t="str">
        <x:v>Sim</x:v>
      </x:c>
      <x:c r="M56" s="64" t="str">
        <x:v>Sim</x:v>
      </x:c>
      <x:c r="N56" s="64" t="str">
        <x:v>2026-10-07</x:v>
      </x:c>
      <x:c r="O56" s="64" t="str">
        <x:v>Ativo ≤30d</x:v>
      </x:c>
      <x:c r="P56" s="83" t="n">
        <x:v>2</x:v>
      </x:c>
      <x:c r="Q56" s="84" t="n">
        <x:v>0.3</x:v>
      </x:c>
      <x:c r="R56" s="64" t="str">
        <x:v>Média</x:v>
      </x:c>
      <x:c r="S56" s="63" t="str">
        <x:v>Concessionários, distribuidores, dirigentes e gestores</x:v>
      </x:c>
      <x:c r="T56" s="63" t="str">
        <x:v>Médio</x:v>
      </x:c>
      <x:c r="U56" s="63" t="str">
        <x:v>Concentra concessionários e gestores; boa fonte de eventos, dirigentes e comentários profissionais.</x:v>
      </x:c>
      <x:c r="V56" s="63" t="str">
        <x:v>Apify · Instagram Scraper</x:v>
      </x:c>
      <x:c r="W56" s="63" t="str">
        <x:v>2026-10-07</x:v>
      </x:c>
    </x:row>
    <x:row r="57">
      <x:c r="A57" s="64" t="n">
        <x:v>48</x:v>
      </x:c>
      <x:c r="B57" s="64" t="str">
        <x:v>B</x:v>
      </x:c>
      <x:c r="C57" s="64" t="str">
        <x:v>Monitorar</x:v>
      </x:c>
      <x:c r="D57" s="64" t="n">
        <x:v>69</x:v>
      </x:c>
      <x:c r="E57" s="63" t="str">
        <x:v>Marketing / geração de demanda</x:v>
      </x:c>
      <x:c r="F57" s="63" t="str">
        <x:v>Luizinho Santos</x:v>
      </x:c>
      <x:c r="G57" s="63" t="str">
        <x:v>@luizinhosantosoficial</x:v>
      </x:c>
      <x:c r="H57" s="63" t="str">
        <x:v>https://www.instagram.com/luizinhosantosoficial</x:v>
      </x:c>
      <x:c r="I57" s="63" t="str">
        <x:v>Luizinho Santos | Tráfego Automotivo 🚀 Especialista em Intermediadoras de Veículos CEO @agenciav8company 👇 Quer vender mais? Me chama</x:v>
      </x:c>
      <x:c r="J57" s="83" t="n">
        <x:v>32539</x:v>
      </x:c>
      <x:c r="K57" s="83" t="n">
        <x:v>276</x:v>
      </x:c>
      <x:c r="L57" s="64" t="str">
        <x:v>Sim</x:v>
      </x:c>
      <x:c r="M57" s="64" t="str">
        <x:v>Não</x:v>
      </x:c>
      <x:c r="N57" s="64" t="str">
        <x:v>2026-10-05</x:v>
      </x:c>
      <x:c r="O57" s="64" t="str">
        <x:v>Ativo ≤30d</x:v>
      </x:c>
      <x:c r="P57" s="83" t="n">
        <x:v>1</x:v>
      </x:c>
      <x:c r="Q57" s="84" t="n">
        <x:v>0.1</x:v>
      </x:c>
      <x:c r="R57" s="64" t="str">
        <x:v>Média</x:v>
      </x:c>
      <x:c r="S57" s="63" t="str">
        <x:v>Lojistas, concessionárias, vendedores e gestores comerciais</x:v>
      </x:c>
      <x:c r="T57" s="63" t="str">
        <x:v>Médio</x:v>
      </x:c>
      <x:c r="U57" s="63" t="str">
        <x:v>Aderência útil, mas exige validar cargo/empresa dos engajados.</x:v>
      </x:c>
      <x:c r="V57" s="63" t="str">
        <x:v>Apify · Instagram Scraper</x:v>
      </x:c>
      <x:c r="W57" s="63" t="str">
        <x:v>2026-10-07</x:v>
      </x:c>
    </x:row>
    <x:row r="58">
      <x:c r="A58" s="64" t="n">
        <x:v>49</x:v>
      </x:c>
      <x:c r="B58" s="64" t="str">
        <x:v>B</x:v>
      </x:c>
      <x:c r="C58" s="64" t="str">
        <x:v>Teste controlado</x:v>
      </x:c>
      <x:c r="D58" s="64" t="n">
        <x:v>68</x:v>
      </x:c>
      <x:c r="E58" s="63" t="str">
        <x:v>Pessoa / executivo automotivo</x:v>
      </x:c>
      <x:c r="F58" s="63" t="str">
        <x:v>Alberto Panetto - CARRU</x:v>
      </x:c>
      <x:c r="G58" s="63" t="str">
        <x:v>@albertopan</x:v>
      </x:c>
      <x:c r="H58" s="63" t="str">
        <x:v>https://www.instagram.com/albertopan</x:v>
      </x:c>
      <x:c r="I58" s="63" t="str">
        <x:v>🚙 Referência no setor automotivo capixaba. 🎯 CEO das empresas @carru.br e @carru.repasse 💻 Compra e venda de veículos. 🔶 Especialista automotivo!</x:v>
      </x:c>
      <x:c r="J58" s="83" t="n">
        <x:v>5841</x:v>
      </x:c>
      <x:c r="K58" s="83" t="n">
        <x:v>1647</x:v>
      </x:c>
      <x:c r="L58" s="64" t="str">
        <x:v>Sim</x:v>
      </x:c>
      <x:c r="M58" s="64" t="str">
        <x:v>Sim</x:v>
      </x:c>
      <x:c r="N58" s="64" t="str">
        <x:v>2026-10-07</x:v>
      </x:c>
      <x:c r="O58" s="64" t="str">
        <x:v>Ativo ≤30d</x:v>
      </x:c>
      <x:c r="P58" s="83" t="n">
        <x:v>4</x:v>
      </x:c>
      <x:c r="Q58" s="84" t="n">
        <x:v>0.5</x:v>
      </x:c>
      <x:c r="R58" s="64" t="str">
        <x:v>Média</x:v>
      </x:c>
      <x:c r="S58" s="63" t="str">
        <x:v>Executivos, gerentes, vendedores e profissionais automotivos</x:v>
      </x:c>
      <x:c r="T58" s="63" t="str">
        <x:v>Médio</x:v>
      </x:c>
      <x:c r="U58" s="63" t="str">
        <x:v>Aderência útil, mas exige validar cargo/empresa dos engajados.</x:v>
      </x:c>
      <x:c r="V58" s="63" t="str">
        <x:v>Apify · Instagram Scraper</x:v>
      </x:c>
      <x:c r="W58" s="63" t="str">
        <x:v>2026-10-07</x:v>
      </x:c>
    </x:row>
    <x:row r="59">
      <x:c r="A59" s="64" t="n">
        <x:v>50</x:v>
      </x:c>
      <x:c r="B59" s="64" t="str">
        <x:v>B</x:v>
      </x:c>
      <x:c r="C59" s="64" t="str">
        <x:v>Teste controlado</x:v>
      </x:c>
      <x:c r="D59" s="64" t="n">
        <x:v>68</x:v>
      </x:c>
      <x:c r="E59" s="63" t="str">
        <x:v>Associação / entidade</x:v>
      </x:c>
      <x:c r="F59" s="63" t="str">
        <x:v>Sincodiv Bahia</x:v>
      </x:c>
      <x:c r="G59" s="63" t="str">
        <x:v>@sincodiv.ba</x:v>
      </x:c>
      <x:c r="H59" s="63" t="str">
        <x:v>https://www.instagram.com/sincodiv.ba</x:v>
      </x:c>
      <x:c r="I59" s="63" t="str">
        <x:v>Há mais de 40 anos fortalecendo o setor automotivo baiano. Associe-se ⬇️</x:v>
      </x:c>
      <x:c r="J59" s="83" t="n">
        <x:v>899</x:v>
      </x:c>
      <x:c r="K59" s="83" t="n">
        <x:v>271</x:v>
      </x:c>
      <x:c r="L59" s="64" t="str">
        <x:v>Sim</x:v>
      </x:c>
      <x:c r="M59" s="64" t="str">
        <x:v>Não</x:v>
      </x:c>
      <x:c r="N59" s="64" t="str">
        <x:v>2026-09-25</x:v>
      </x:c>
      <x:c r="O59" s="64" t="str">
        <x:v>Ativo ≤30d</x:v>
      </x:c>
      <x:c r="P59" s="83" t="n">
        <x:v>4</x:v>
      </x:c>
      <x:c r="Q59" s="84" t="n">
        <x:v>0.8</x:v>
      </x:c>
      <x:c r="R59" s="64" t="str">
        <x:v>Média</x:v>
      </x:c>
      <x:c r="S59" s="63" t="str">
        <x:v>Concessionários, distribuidores, dirigentes e gestores</x:v>
      </x:c>
      <x:c r="T59" s="63" t="str">
        <x:v>Médio</x:v>
      </x:c>
      <x:c r="U59" s="63" t="str">
        <x:v>Concentra concessionários e gestores; boa fonte de eventos, dirigentes e comentários profissionais.</x:v>
      </x:c>
      <x:c r="V59" s="63" t="str">
        <x:v>Apify · Instagram Scraper</x:v>
      </x:c>
      <x:c r="W59" s="63" t="str">
        <x:v>2026-10-07</x:v>
      </x:c>
    </x:row>
    <x:row r="60">
      <x:c r="A60" s="64" t="n">
        <x:v>51</x:v>
      </x:c>
      <x:c r="B60" s="64" t="str">
        <x:v>B</x:v>
      </x:c>
      <x:c r="C60" s="64" t="str">
        <x:v>Teste controlado</x:v>
      </x:c>
      <x:c r="D60" s="64" t="n">
        <x:v>68</x:v>
      </x:c>
      <x:c r="E60" s="63" t="str">
        <x:v>Pessoa / executivo automotivo</x:v>
      </x:c>
      <x:c r="F60" s="63" t="str">
        <x:v>Elioenay Oliveira</x:v>
      </x:c>
      <x:c r="G60" s="63" t="str">
        <x:v>@ejselectmotors</x:v>
      </x:c>
      <x:c r="H60" s="63" t="str">
        <x:v>https://www.instagram.com/ejselectmotors</x:v>
      </x:c>
      <x:c r="I60" s="63" t="str">
        <x:v>•Executivo Automotivo •Transformando veículos em oportunidades de negócios inteligentes. 💍 @julianaeriza</x:v>
      </x:c>
      <x:c r="J60" s="83" t="n">
        <x:v>437</x:v>
      </x:c>
      <x:c r="K60" s="83" t="n">
        <x:v>22</x:v>
      </x:c>
      <x:c r="L60" s="64" t="str">
        <x:v>Não</x:v>
      </x:c>
      <x:c r="M60" s="64" t="str">
        <x:v>Não</x:v>
      </x:c>
      <x:c r="N60" s="64" t="str">
        <x:v>2026-09-27</x:v>
      </x:c>
      <x:c r="O60" s="64" t="str">
        <x:v>Ativo ≤30d</x:v>
      </x:c>
      <x:c r="P60" s="83" t="n">
        <x:v>4</x:v>
      </x:c>
      <x:c r="Q60" s="84" t="n">
        <x:v>0.8</x:v>
      </x:c>
      <x:c r="R60" s="64" t="str">
        <x:v>Média</x:v>
      </x:c>
      <x:c r="S60" s="63" t="str">
        <x:v>Executivos, gerentes, vendedores e profissionais automotivos</x:v>
      </x:c>
      <x:c r="T60" s="63" t="str">
        <x:v>Médio</x:v>
      </x:c>
      <x:c r="U60" s="63" t="str">
        <x:v>Aderência útil, mas exige validar cargo/empresa dos engajados.</x:v>
      </x:c>
      <x:c r="V60" s="63" t="str">
        <x:v>Apify · Instagram Scraper</x:v>
      </x:c>
      <x:c r="W60" s="63" t="str">
        <x:v>2026-10-07</x:v>
      </x:c>
    </x:row>
    <x:row r="61">
      <x:c r="A61" s="64" t="n">
        <x:v>52</x:v>
      </x:c>
      <x:c r="B61" s="64" t="str">
        <x:v>B</x:v>
      </x:c>
      <x:c r="C61" s="64" t="str">
        <x:v>Teste controlado</x:v>
      </x:c>
      <x:c r="D61" s="64" t="n">
        <x:v>68</x:v>
      </x:c>
      <x:c r="E61" s="63" t="str">
        <x:v>Tecnologia / serviço B2B</x:v>
      </x:c>
      <x:c r="F61" s="63" t="str">
        <x:v>ProCar</x:v>
      </x:c>
      <x:c r="G61" s="63" t="str">
        <x:v>@procarservice.gs</x:v>
      </x:c>
      <x:c r="H61" s="63" t="str">
        <x:v>https://www.instagram.com/procarservice.gs</x:v>
      </x:c>
      <x:c r="I61" s="63" t="str">
        <x:v>⚡️Elevando o Padrão da Estética Automotiva 🎯 +50 Concessionárias 👩‍💻+ 200 colaboradores Transforme seus resultados Garanta o bônus da montadora!</x:v>
      </x:c>
      <x:c r="J61" s="83" t="n">
        <x:v>1682</x:v>
      </x:c>
      <x:c r="K61" s="83" t="n">
        <x:v>64</x:v>
      </x:c>
      <x:c r="L61" s="64" t="str">
        <x:v>Não</x:v>
      </x:c>
      <x:c r="M61" s="64" t="str">
        <x:v>Não</x:v>
      </x:c>
      <x:c r="N61" s="64" t="str">
        <x:v>2026-09-18</x:v>
      </x:c>
      <x:c r="O61" s="64" t="str">
        <x:v>Ativo ≤30d</x:v>
      </x:c>
      <x:c r="P61" s="83" t="n">
        <x:v>3</x:v>
      </x:c>
      <x:c r="Q61" s="84" t="n">
        <x:v>1.5</x:v>
      </x:c>
      <x:c r="R61" s="64" t="str">
        <x:v>Média</x:v>
      </x:c>
      <x:c r="S61" s="63" t="str">
        <x:v>Gestão, operações, CRM/BDC, marketing e vendas automotivas</x:v>
      </x:c>
      <x:c r="T61" s="63" t="str">
        <x:v>Médio</x:v>
      </x:c>
      <x:c r="U61" s="63" t="str">
        <x:v>Solução voltada ao ecossistema automotivo; seguidores tendem a incluir gestores e operadores.</x:v>
      </x:c>
      <x:c r="V61" s="63" t="str">
        <x:v>Apify · Instagram Scraper</x:v>
      </x:c>
      <x:c r="W61" s="63" t="str">
        <x:v>2026-10-07</x:v>
      </x:c>
    </x:row>
    <x:row r="62">
      <x:c r="A62" s="64" t="n">
        <x:v>53</x:v>
      </x:c>
      <x:c r="B62" s="64" t="str">
        <x:v>B</x:v>
      </x:c>
      <x:c r="C62" s="64" t="str">
        <x:v>Teste controlado</x:v>
      </x:c>
      <x:c r="D62" s="64" t="n">
        <x:v>68</x:v>
      </x:c>
      <x:c r="E62" s="63" t="str">
        <x:v>Pessoa / executivo automotivo</x:v>
      </x:c>
      <x:c r="F62" s="63" t="str">
        <x:v>Luciene Gerente concessionária Honda Filial</x:v>
      </x:c>
      <x:c r="G62" s="63" t="str">
        <x:v>@luaraujo1932</x:v>
      </x:c>
      <x:c r="H62" s="63" t="str">
        <x:v>https://www.instagram.com/luaraujo1932</x:v>
      </x:c>
      <x:c r="I62" s="63" t="str">
        <x:v>Bacharel - Pedagogia👩‍🎓 Bacharel -Contabilidade 📟 Financiamento/A vista/consórcio/peças e serviços oficina. compre aqui, clique no link abaixo !</x:v>
      </x:c>
      <x:c r="J62" s="83" t="n">
        <x:v>510</x:v>
      </x:c>
      <x:c r="K62" s="83" t="n">
        <x:v>62</x:v>
      </x:c>
      <x:c r="L62" s="64" t="str">
        <x:v>Sim</x:v>
      </x:c>
      <x:c r="M62" s="64" t="str">
        <x:v>Não</x:v>
      </x:c>
      <x:c r="N62" s="64" t="str">
        <x:v>2026-10-01</x:v>
      </x:c>
      <x:c r="O62" s="64" t="str">
        <x:v>Ativo ≤30d</x:v>
      </x:c>
      <x:c r="P62" s="83" t="n">
        <x:v>2</x:v>
      </x:c>
      <x:c r="Q62" s="84" t="n">
        <x:v>0.4</x:v>
      </x:c>
      <x:c r="R62" s="64" t="str">
        <x:v>Média</x:v>
      </x:c>
      <x:c r="S62" s="63" t="str">
        <x:v>Executivos, gerentes, vendedores e profissionais automotivos</x:v>
      </x:c>
      <x:c r="T62" s="63" t="str">
        <x:v>Médio</x:v>
      </x:c>
      <x:c r="U62" s="63" t="str">
        <x:v>Aderência útil, mas exige validar cargo/empresa dos engajados.</x:v>
      </x:c>
      <x:c r="V62" s="63" t="str">
        <x:v>Apify · Instagram Scraper</x:v>
      </x:c>
      <x:c r="W62" s="63" t="str">
        <x:v>2026-10-07</x:v>
      </x:c>
    </x:row>
    <x:row r="63">
      <x:c r="A63" s="64" t="n">
        <x:v>54</x:v>
      </x:c>
      <x:c r="B63" s="64" t="str">
        <x:v>B</x:v>
      </x:c>
      <x:c r="C63" s="64" t="str">
        <x:v>Monitorar</x:v>
      </x:c>
      <x:c r="D63" s="64" t="n">
        <x:v>66</x:v>
      </x:c>
      <x:c r="E63" s="63" t="str">
        <x:v>Associação / entidade</x:v>
      </x:c>
      <x:c r="F63" s="63" t="str">
        <x:v>Fenabrave Santa Catarina</x:v>
      </x:c>
      <x:c r="G63" s="63" t="str">
        <x:v>@fenabravesantacatarina</x:v>
      </x:c>
      <x:c r="H63" s="63" t="str">
        <x:v>https://www.instagram.com/fenabravesantacatarina</x:v>
      </x:c>
      <x:c r="I63" s="63" t="str">
        <x:v>🌐 Federação Nacional da Distribuição de Veículos Automotores•SC 🏢 Sindicato dos Concessionários e Distribuidores de Veículos•SC Saiba Mais ⬇️</x:v>
      </x:c>
      <x:c r="J63" s="83" t="n">
        <x:v>1950</x:v>
      </x:c>
      <x:c r="K63" s="83" t="n">
        <x:v>430</x:v>
      </x:c>
      <x:c r="L63" s="64" t="str">
        <x:v>Sim</x:v>
      </x:c>
      <x:c r="M63" s="64" t="str">
        <x:v>Não</x:v>
      </x:c>
      <x:c r="N63" s="64" t="str">
        <x:v>2026-10-01</x:v>
      </x:c>
      <x:c r="O63" s="64" t="str">
        <x:v>Ativo ≤30d</x:v>
      </x:c>
      <x:c r="P63" s="83" t="n">
        <x:v>1</x:v>
      </x:c>
      <x:c r="Q63" s="84" t="n">
        <x:v>0.1</x:v>
      </x:c>
      <x:c r="R63" s="64" t="str">
        <x:v>Média</x:v>
      </x:c>
      <x:c r="S63" s="63" t="str">
        <x:v>Concessionários, distribuidores, dirigentes e gestores</x:v>
      </x:c>
      <x:c r="T63" s="63" t="str">
        <x:v>Médio</x:v>
      </x:c>
      <x:c r="U63" s="63" t="str">
        <x:v>Concentra concessionários e gestores; boa fonte de eventos, dirigentes e comentários profissionais.</x:v>
      </x:c>
      <x:c r="V63" s="63" t="str">
        <x:v>Apify · Instagram Scraper</x:v>
      </x:c>
      <x:c r="W63" s="63" t="str">
        <x:v>2026-10-07</x:v>
      </x:c>
    </x:row>
    <x:row r="64">
      <x:c r="A64" s="64" t="n">
        <x:v>55</x:v>
      </x:c>
      <x:c r="B64" s="64" t="str">
        <x:v>B</x:v>
      </x:c>
      <x:c r="C64" s="64" t="str">
        <x:v>Monitorar</x:v>
      </x:c>
      <x:c r="D64" s="64" t="n">
        <x:v>66</x:v>
      </x:c>
      <x:c r="E64" s="63" t="str">
        <x:v>Associação / entidade</x:v>
      </x:c>
      <x:c r="F64" s="63" t="str">
        <x:v>Sincodiv-PR e Fenabrave-PR</x:v>
      </x:c>
      <x:c r="G64" s="63" t="str">
        <x:v>@sincodivpr</x:v>
      </x:c>
      <x:c r="H64" s="63" t="str">
        <x:v>https://www.instagram.com/sincodivpr</x:v>
      </x:c>
      <x:c r="I64" s="63" t="str">
        <x:v>Entidade de classe patronal, representante dos distribuidores de veiculos autorizados no Paraná</x:v>
      </x:c>
      <x:c r="J64" s="83" t="n">
        <x:v>229</x:v>
      </x:c>
      <x:c r="K64" s="83" t="n">
        <x:v>334</x:v>
      </x:c>
      <x:c r="L64" s="64" t="str">
        <x:v>Sim</x:v>
      </x:c>
      <x:c r="M64" s="64" t="str">
        <x:v>Não</x:v>
      </x:c>
      <x:c r="N64" s="64" t="str">
        <x:v>2026-10-07</x:v>
      </x:c>
      <x:c r="O64" s="64" t="str">
        <x:v>Ativo ≤30d</x:v>
      </x:c>
      <x:c r="P64" s="83" t="n">
        <x:v>1</x:v>
      </x:c>
      <x:c r="Q64" s="84" t="n">
        <x:v>0.3</x:v>
      </x:c>
      <x:c r="R64" s="64" t="str">
        <x:v>Média</x:v>
      </x:c>
      <x:c r="S64" s="63" t="str">
        <x:v>Concessionários, distribuidores, dirigentes e gestores</x:v>
      </x:c>
      <x:c r="T64" s="63" t="str">
        <x:v>Médio</x:v>
      </x:c>
      <x:c r="U64" s="63" t="str">
        <x:v>Concentra concessionários e gestores; boa fonte de eventos, dirigentes e comentários profissionais.</x:v>
      </x:c>
      <x:c r="V64" s="63" t="str">
        <x:v>Apify · Instagram Scraper</x:v>
      </x:c>
      <x:c r="W64" s="63" t="str">
        <x:v>2026-10-07</x:v>
      </x:c>
    </x:row>
    <x:row r="65">
      <x:c r="A65" s="64" t="n">
        <x:v>56</x:v>
      </x:c>
      <x:c r="B65" s="64" t="str">
        <x:v>B</x:v>
      </x:c>
      <x:c r="C65" s="64" t="str">
        <x:v>Monitorar</x:v>
      </x:c>
      <x:c r="D65" s="64" t="n">
        <x:v>66</x:v>
      </x:c>
      <x:c r="E65" s="63" t="str">
        <x:v>Tecnologia / serviço B2B</x:v>
      </x:c>
      <x:c r="F65" s="63" t="str">
        <x:v>Acert | Sistema para gestão de revendas de veículos</x:v>
      </x:c>
      <x:c r="G65" s="63" t="str">
        <x:v>@acert.gw</x:v>
      </x:c>
      <x:c r="H65" s="63" t="str">
        <x:v>https://www.instagram.com/acert.gw</x:v>
      </x:c>
      <x:c r="I65" s="63" t="str">
        <x:v>🚗 Tudo que sua revenda precisa 📋 RENAVE | Clientes | Veículos | Estoque | Contratos 📊 Relatórios personalizáveis e NF-e 💻 Suporte direto humanizado</x:v>
      </x:c>
      <x:c r="J65" s="83" t="n">
        <x:v>184</x:v>
      </x:c>
      <x:c r="K65" s="83" t="n">
        <x:v>23</x:v>
      </x:c>
      <x:c r="L65" s="64" t="str">
        <x:v>Sim</x:v>
      </x:c>
      <x:c r="M65" s="64" t="str">
        <x:v>Não</x:v>
      </x:c>
      <x:c r="N65" s="64" t="str">
        <x:v>2026-10-07</x:v>
      </x:c>
      <x:c r="O65" s="64" t="str">
        <x:v>Ativo ≤30d</x:v>
      </x:c>
      <x:c r="P65" s="83" t="n">
        <x:v>0</x:v>
      </x:c>
      <x:c r="Q65" s="84" t="n">
        <x:v>0</x:v>
      </x:c>
      <x:c r="R65" s="64" t="str">
        <x:v>Média</x:v>
      </x:c>
      <x:c r="S65" s="63" t="str">
        <x:v>Gestão, operações, CRM/BDC, marketing e vendas automotivas</x:v>
      </x:c>
      <x:c r="T65" s="63" t="str">
        <x:v>Médio</x:v>
      </x:c>
      <x:c r="U65" s="63" t="str">
        <x:v>Solução voltada ao ecossistema automotivo; seguidores tendem a incluir gestores e operadores.</x:v>
      </x:c>
      <x:c r="V65" s="63" t="str">
        <x:v>Apify · Instagram Scraper</x:v>
      </x:c>
      <x:c r="W65" s="63" t="str">
        <x:v>2026-10-07</x:v>
      </x:c>
    </x:row>
    <x:row r="66">
      <x:c r="A66" s="64" t="n">
        <x:v>57</x:v>
      </x:c>
      <x:c r="B66" s="64" t="str">
        <x:v>B</x:v>
      </x:c>
      <x:c r="C66" s="64" t="str">
        <x:v>Teste controlado</x:v>
      </x:c>
      <x:c r="D66" s="64" t="n">
        <x:v>63</x:v>
      </x:c>
      <x:c r="E66" s="63" t="str">
        <x:v>Tecnologia / serviço B2B</x:v>
      </x:c>
      <x:c r="F66" s="63" t="str">
        <x:v>Gerencia Lead | CRM Automotivo + IA</x:v>
      </x:c>
      <x:c r="G66" s="63" t="str">
        <x:v>@gerencialead</x:v>
      </x:c>
      <x:c r="H66" s="63" t="str">
        <x:v>https://www.instagram.com/gerencialead</x:v>
      </x:c>
      <x:c r="I66" s="63" t="str">
        <x:v>🎯 Transforme leads em clientes. 🚀 Do pré ao pós, sem perder venda. 🤖 I.A 24h que qualifica e vende. 🔗 Integre plataformas! Automatize.</x:v>
      </x:c>
      <x:c r="J66" s="83" t="n">
        <x:v>107</x:v>
      </x:c>
      <x:c r="K66" s="83" t="n">
        <x:v>38</x:v>
      </x:c>
      <x:c r="L66" s="64" t="str">
        <x:v>Não</x:v>
      </x:c>
      <x:c r="M66" s="64" t="str">
        <x:v>Não</x:v>
      </x:c>
      <x:c r="N66" s="64" t="str">
        <x:v>2026-09-02</x:v>
      </x:c>
      <x:c r="O66" s="64" t="str">
        <x:v>Ativo 31–90d</x:v>
      </x:c>
      <x:c r="P66" s="83" t="n">
        <x:v>2</x:v>
      </x:c>
      <x:c r="Q66" s="84" t="n">
        <x:v>0.3</x:v>
      </x:c>
      <x:c r="R66" s="64" t="str">
        <x:v>Média</x:v>
      </x:c>
      <x:c r="S66" s="63" t="str">
        <x:v>Gestão, operações, CRM/BDC, marketing e vendas automotivas</x:v>
      </x:c>
      <x:c r="T66" s="63" t="str">
        <x:v>Médio</x:v>
      </x:c>
      <x:c r="U66" s="63" t="str">
        <x:v>Solução voltada ao ecossistema automotivo; seguidores tendem a incluir gestores e operadores.</x:v>
      </x:c>
      <x:c r="V66" s="63" t="str">
        <x:v>Apify · Instagram Scraper</x:v>
      </x:c>
      <x:c r="W66" s="63" t="str">
        <x:v>2026-10-07</x:v>
      </x:c>
    </x:row>
    <x:row r="67">
      <x:c r="A67" s="64" t="n">
        <x:v>58</x:v>
      </x:c>
      <x:c r="B67" s="64" t="str">
        <x:v>B</x:v>
      </x:c>
      <x:c r="C67" s="64" t="str">
        <x:v>Monitorar</x:v>
      </x:c>
      <x:c r="D67" s="64" t="n">
        <x:v>61</x:v>
      </x:c>
      <x:c r="E67" s="63" t="str">
        <x:v>Pessoa / executivo automotivo</x:v>
      </x:c>
      <x:c r="F67" s="63" t="str">
        <x:v>Kevin | EXECUTIVO DE VENDAS DA NISSAN🇯🇵</x:v>
      </x:c>
      <x:c r="G67" s="63" t="str">
        <x:v>@kevin.executivo.automotivo</x:v>
      </x:c>
      <x:c r="H67" s="63" t="str">
        <x:v>https://www.instagram.com/kevin.executivo.automotivo</x:v>
      </x:c>
      <x:c r="I67" s="63" t="str">
        <x:v>🇯🇵: Executivo de Vendas Nissan | 0 km 📲: @grupoiesa Seu próximo Nissan começa aqui🇯🇵. 📍: RS-020, 110 - Vera Cruz, Gravataí - RS</x:v>
      </x:c>
      <x:c r="J67" s="83" t="n">
        <x:v>503</x:v>
      </x:c>
      <x:c r="K67" s="83" t="n">
        <x:v>1</x:v>
      </x:c>
      <x:c r="L67" s="64" t="str">
        <x:v>Não</x:v>
      </x:c>
      <x:c r="M67" s="64" t="str">
        <x:v>Não</x:v>
      </x:c>
      <x:c r="N67" s="64" t="str">
        <x:v>2026-08-22</x:v>
      </x:c>
      <x:c r="O67" s="64" t="str">
        <x:v>Ativo 31–90d</x:v>
      </x:c>
      <x:c r="P67" s="83" t="n">
        <x:v>1</x:v>
      </x:c>
      <x:c r="Q67" s="84" t="n">
        <x:v>1</x:v>
      </x:c>
      <x:c r="R67" s="64" t="str">
        <x:v>Média</x:v>
      </x:c>
      <x:c r="S67" s="63" t="str">
        <x:v>Executivos, gerentes, vendedores e profissionais automotivos</x:v>
      </x:c>
      <x:c r="T67" s="63" t="str">
        <x:v>Médio</x:v>
      </x:c>
      <x:c r="U67" s="63" t="str">
        <x:v>Aderência útil, mas exige validar cargo/empresa dos engajados.</x:v>
      </x:c>
      <x:c r="V67" s="63" t="str">
        <x:v>Apify · Instagram Scraper</x:v>
      </x:c>
      <x:c r="W67" s="63" t="str">
        <x:v>2026-10-07</x:v>
      </x:c>
    </x:row>
    <x:row r="68">
      <x:c r="A68" s="64" t="n">
        <x:v>59</x:v>
      </x:c>
      <x:c r="B68" s="64" t="str">
        <x:v>B</x:v>
      </x:c>
      <x:c r="C68" s="64" t="str">
        <x:v>Teste controlado</x:v>
      </x:c>
      <x:c r="D68" s="64" t="n">
        <x:v>55</x:v>
      </x:c>
      <x:c r="E68" s="63" t="str">
        <x:v>Tecnologia / serviço B2B</x:v>
      </x:c>
      <x:c r="F68" s="63" t="str">
        <x:v>Auto Fácil BI | Gestão de Lucro Automotivo</x:v>
      </x:c>
      <x:c r="G68" s="63" t="str">
        <x:v>@autofacil.bi</x:v>
      </x:c>
      <x:c r="H68" s="63" t="str">
        <x:v>https://www.instagram.com/autofacil.bi</x:v>
      </x:c>
      <x:c r="I68" s="63" t="str">
        <x:v>A maioria das concessionárias vende bem. Poucas sabem quanto lucram. 🏆 Criado por um dos gestores mais premiados do Brasil 👇 Diagnóstico Gratuito</x:v>
      </x:c>
      <x:c r="J68" s="83" t="n">
        <x:v>156</x:v>
      </x:c>
      <x:c r="K68" s="83" t="n">
        <x:v>9</x:v>
      </x:c>
      <x:c r="L68" s="64" t="str">
        <x:v>Sim</x:v>
      </x:c>
      <x:c r="M68" s="64" t="str">
        <x:v>Não</x:v>
      </x:c>
      <x:c r="N68" s="64" t="str">
        <x:v>2026-06-26</x:v>
      </x:c>
      <x:c r="O68" s="64" t="str">
        <x:v>Desatualizado &gt;90d</x:v>
      </x:c>
      <x:c r="P68" s="83" t="n">
        <x:v>14</x:v>
      </x:c>
      <x:c r="Q68" s="84" t="n">
        <x:v>1.8</x:v>
      </x:c>
      <x:c r="R68" s="64" t="str">
        <x:v>Média</x:v>
      </x:c>
      <x:c r="S68" s="63" t="str">
        <x:v>Gestão, operações, CRM/BDC, marketing e vendas automotivas</x:v>
      </x:c>
      <x:c r="T68" s="63" t="str">
        <x:v>Médio</x:v>
      </x:c>
      <x:c r="U68" s="63" t="str">
        <x:v>Solução voltada ao ecossistema automotivo; seguidores tendem a incluir gestores e operadores.</x:v>
      </x:c>
      <x:c r="V68" s="63" t="str">
        <x:v>Apify · Instagram Scraper</x:v>
      </x:c>
      <x:c r="W68" s="63" t="str">
        <x:v>2026-10-07</x:v>
      </x:c>
    </x:row>
    <x:row r="69">
      <x:c r="A69" s="64" t="n">
        <x:v>60</x:v>
      </x:c>
      <x:c r="B69" s="64" t="str">
        <x:v>B</x:v>
      </x:c>
      <x:c r="C69" s="64" t="str">
        <x:v>Teste controlado</x:v>
      </x:c>
      <x:c r="D69" s="64" t="n">
        <x:v>52</x:v>
      </x:c>
      <x:c r="E69" s="63" t="str">
        <x:v>Marketing / geração de demanda</x:v>
      </x:c>
      <x:c r="F69" s="63" t="str">
        <x:v>Growth Car | Marketing Concessionárias</x:v>
      </x:c>
      <x:c r="G69" s="63" t="str">
        <x:v>@growth.carr</x:v>
      </x:c>
      <x:c r="H69" s="63" t="str">
        <x:v>https://www.instagram.com/growth.carr</x:v>
      </x:c>
      <x:c r="I69" s="63" t="str">
        <x:v>📍Empresa especializada em captação de clientes para concessionarias. ✨+50 concessionarias transformadas! 👇🏼Agende uma sessão estratégia gratuita</x:v>
      </x:c>
      <x:c r="J69" s="83" t="n">
        <x:v>3</x:v>
      </x:c>
      <x:c r="K69" s="83" t="n">
        <x:v>5</x:v>
      </x:c>
      <x:c r="L69" s="64" t="str">
        <x:v>Não</x:v>
      </x:c>
      <x:c r="M69" s="64" t="str">
        <x:v>Não</x:v>
      </x:c>
      <x:c r="N69" s="64" t="str">
        <x:v>2023-02-18</x:v>
      </x:c>
      <x:c r="O69" s="64" t="str">
        <x:v>Desatualizado &gt;90d</x:v>
      </x:c>
      <x:c r="P69" s="83" t="n">
        <x:v>4</x:v>
      </x:c>
      <x:c r="Q69" s="84" t="n">
        <x:v>1</x:v>
      </x:c>
      <x:c r="R69" s="64" t="str">
        <x:v>Média</x:v>
      </x:c>
      <x:c r="S69" s="63" t="str">
        <x:v>Lojistas, concessionárias, vendedores e gestores comerciais</x:v>
      </x:c>
      <x:c r="T69" s="63" t="str">
        <x:v>Médio</x:v>
      </x:c>
      <x:c r="U69" s="63" t="str">
        <x:v>Aderência útil, mas exige validar cargo/empresa dos engajados.</x:v>
      </x:c>
      <x:c r="V69" s="63" t="str">
        <x:v>Apify · Instagram Scraper</x:v>
      </x:c>
      <x:c r="W69" s="63" t="str">
        <x:v>2026-10-07</x:v>
      </x:c>
    </x:row>
    <x:row r="70">
      <x:c r="A70" s="64" t="n">
        <x:v>61</x:v>
      </x:c>
      <x:c r="B70" s="64" t="str">
        <x:v>B</x:v>
      </x:c>
      <x:c r="C70" s="64" t="str">
        <x:v>Monitorar</x:v>
      </x:c>
      <x:c r="D70" s="64" t="n">
        <x:v>50</x:v>
      </x:c>
      <x:c r="E70" s="63" t="str">
        <x:v>Marketing / geração de demanda</x:v>
      </x:c>
      <x:c r="F70" s="63" t="str">
        <x:v>Gandos I Marketing &amp; Vendas</x:v>
      </x:c>
      <x:c r="G70" s="63" t="str">
        <x:v>@grupogandos</x:v>
      </x:c>
      <x:c r="H70" s="63" t="str">
        <x:v>https://www.instagram.com/grupogandos</x:v>
      </x:c>
      <x:c r="I70" s="63" t="str">
        <x:v>⚡ Grupo Gandos +R$2,4 milhões em anúncios gerenciados Gestão da Jornada de Compra: do clique à venda 👇 Mapeie a sua jornada</x:v>
      </x:c>
      <x:c r="J70" s="83" t="n">
        <x:v>142</x:v>
      </x:c>
      <x:c r="K70" s="83" t="n">
        <x:v>25</x:v>
      </x:c>
      <x:c r="L70" s="64" t="str">
        <x:v>Não</x:v>
      </x:c>
      <x:c r="M70" s="64" t="str">
        <x:v>Não</x:v>
      </x:c>
      <x:c r="N70" s="64" t="str">
        <x:v>2026-07-02</x:v>
      </x:c>
      <x:c r="O70" s="64" t="str">
        <x:v>Desatualizado &gt;90d</x:v>
      </x:c>
      <x:c r="P70" s="83" t="n">
        <x:v>1</x:v>
      </x:c>
      <x:c r="Q70" s="84" t="n">
        <x:v>0.1</x:v>
      </x:c>
      <x:c r="R70" s="64" t="str">
        <x:v>Média</x:v>
      </x:c>
      <x:c r="S70" s="63" t="str">
        <x:v>Lojistas, concessionárias, vendedores e gestores comerciais</x:v>
      </x:c>
      <x:c r="T70" s="63" t="str">
        <x:v>Médio</x:v>
      </x:c>
      <x:c r="U70" s="63" t="str">
        <x:v>Aderência útil, mas exige validar cargo/empresa dos engajados.</x:v>
      </x:c>
      <x:c r="V70" s="63" t="str">
        <x:v>Apify · Instagram Scraper</x:v>
      </x:c>
      <x:c r="W70" s="63" t="str">
        <x:v>2026-10-07</x:v>
      </x:c>
    </x:row>
    <x:row r="71">
      <x:c r="A71" s="64" t="n">
        <x:v>62</x:v>
      </x:c>
      <x:c r="B71" s="64" t="str">
        <x:v>B</x:v>
      </x:c>
      <x:c r="C71" s="64" t="str">
        <x:v>Monitorar</x:v>
      </x:c>
      <x:c r="D71" s="64" t="n">
        <x:v>50</x:v>
      </x:c>
      <x:c r="E71" s="63" t="str">
        <x:v>Educação / consultoria</x:v>
      </x:c>
      <x:c r="F71" s="63" t="str">
        <x:v>Rota Automotiva Master | Gestão Automotiva</x:v>
      </x:c>
      <x:c r="G71" s="63" t="str">
        <x:v>@rotaautomotivamaster</x:v>
      </x:c>
      <x:c r="H71" s="63" t="str">
        <x:v>https://www.instagram.com/rotaautomotivamaster</x:v>
      </x:c>
      <x:c r="I71" s="63" t="str">
        <x:v>📖 O mercado forma técnicos. Nós formamos empresários. 🎯 Gestão Automotiva na prática. 📘 Comece pela Biblioteca ↓ 👇 Acesse o site</x:v>
      </x:c>
      <x:c r="J71" s="83" t="n">
        <x:v>102</x:v>
      </x:c>
      <x:c r="K71" s="83" t="n">
        <x:v>28</x:v>
      </x:c>
      <x:c r="L71" s="64" t="str">
        <x:v>Sim</x:v>
      </x:c>
      <x:c r="M71" s="64" t="str">
        <x:v>Não</x:v>
      </x:c>
      <x:c r="N71" s="64" t="str">
        <x:v>2026-05-21</x:v>
      </x:c>
      <x:c r="O71" s="64" t="str">
        <x:v>Desatualizado &gt;90d</x:v>
      </x:c>
      <x:c r="P71" s="83" t="n">
        <x:v>1</x:v>
      </x:c>
      <x:c r="Q71" s="84" t="n">
        <x:v>0.1</x:v>
      </x:c>
      <x:c r="R71" s="64" t="str">
        <x:v>Média</x:v>
      </x:c>
      <x:c r="S71" s="63" t="str">
        <x:v>Donos, líderes e equipes de concessionárias e varejo automotivo</x:v>
      </x:c>
      <x:c r="T71" s="63" t="str">
        <x:v>Médio</x:v>
      </x:c>
      <x:c r="U71" s="63" t="str">
        <x:v>Aderência útil, mas exige validar cargo/empresa dos engajados.</x:v>
      </x:c>
      <x:c r="V71" s="63" t="str">
        <x:v>Apify · Instagram Scraper</x:v>
      </x:c>
      <x:c r="W71" s="63" t="str">
        <x:v>2026-10-07</x:v>
      </x:c>
    </x:row>
    <x:row r="72">
      <x:c r="A72" s="64" t="n">
        <x:v>63</x:v>
      </x:c>
      <x:c r="B72" s="64" t="str">
        <x:v>B</x:v>
      </x:c>
      <x:c r="C72" s="64" t="str">
        <x:v>Monitorar</x:v>
      </x:c>
      <x:c r="D72" s="64" t="n">
        <x:v>50</x:v>
      </x:c>
      <x:c r="E72" s="63" t="str">
        <x:v>Tecnologia / serviço B2B</x:v>
      </x:c>
      <x:c r="F72" s="63" t="str">
        <x:v>Gestorcar Solução em Marketing</x:v>
      </x:c>
      <x:c r="G72" s="63" t="str">
        <x:v>@gestorcar</x:v>
      </x:c>
      <x:c r="H72" s="63" t="str">
        <x:v>https://www.instagram.com/gestorcar</x:v>
      </x:c>
      <x:c r="I72" s="63" t="str">
        <x:v>O Gestorcar é um sistema focado em marketing digital para revendas de veículos, um sistema que trabalha 100% online.</x:v>
      </x:c>
      <x:c r="J72" s="83" t="n">
        <x:v>61</x:v>
      </x:c>
      <x:c r="K72" s="83" t="n">
        <x:v>6</x:v>
      </x:c>
      <x:c r="L72" s="64" t="str">
        <x:v>Sim</x:v>
      </x:c>
      <x:c r="M72" s="64" t="str">
        <x:v>Não</x:v>
      </x:c>
      <x:c r="N72" s="64" t="str">
        <x:v>2018-11-21</x:v>
      </x:c>
      <x:c r="O72" s="64" t="str">
        <x:v>Desatualizado &gt;90d</x:v>
      </x:c>
      <x:c r="P72" s="83" t="n">
        <x:v>1</x:v>
      </x:c>
      <x:c r="Q72" s="84" t="n">
        <x:v>0.3</x:v>
      </x:c>
      <x:c r="R72" s="64" t="str">
        <x:v>Média</x:v>
      </x:c>
      <x:c r="S72" s="63" t="str">
        <x:v>Gestão, operações, CRM/BDC, marketing e vendas automotivas</x:v>
      </x:c>
      <x:c r="T72" s="63" t="str">
        <x:v>Médio</x:v>
      </x:c>
      <x:c r="U72" s="63" t="str">
        <x:v>Solução voltada ao ecossistema automotivo; seguidores tendem a incluir gestores e operadores.</x:v>
      </x:c>
      <x:c r="V72" s="63" t="str">
        <x:v>Apify · Instagram Scraper</x:v>
      </x:c>
      <x:c r="W72" s="63" t="str">
        <x:v>2026-10-07</x:v>
      </x:c>
    </x:row>
    <x:row r="73">
      <x:c r="A73" s="64" t="n">
        <x:v>64</x:v>
      </x:c>
      <x:c r="B73" s="64" t="str">
        <x:v>B</x:v>
      </x:c>
      <x:c r="C73" s="64" t="str">
        <x:v>Monitorar</x:v>
      </x:c>
      <x:c r="D73" s="64" t="n">
        <x:v>50</x:v>
      </x:c>
      <x:c r="E73" s="63" t="str">
        <x:v>Tecnologia / serviço B2B</x:v>
      </x:c>
      <x:c r="F73" s="63" t="str">
        <x:v>AutoControl | Dados, BI e Gestão</x:v>
      </x:c>
      <x:c r="G73" s="63" t="str">
        <x:v>@autocontrol.br</x:v>
      </x:c>
      <x:c r="H73" s="63" t="str">
        <x:v>https://www.instagram.com/autocontrol.br</x:v>
      </x:c>
      <x:c r="I73" s="63" t="str">
        <x:v>Consultoria em Dados, BI e Gestão Dashboards, indicadores e automação Dados organizados. Decisões melhores.</x:v>
      </x:c>
      <x:c r="J73" s="83" t="n">
        <x:v>6362</x:v>
      </x:c>
      <x:c r="K73" s="83" t="n">
        <x:v>3</x:v>
      </x:c>
      <x:c r="L73" s="64" t="str">
        <x:v>Sim</x:v>
      </x:c>
      <x:c r="M73" s="64" t="str">
        <x:v>Não</x:v>
      </x:c>
      <x:c r="N73" s="64" t="str">
        <x:v>2023-09-07</x:v>
      </x:c>
      <x:c r="O73" s="64" t="str">
        <x:v>Desatualizado &gt;90d</x:v>
      </x:c>
      <x:c r="P73" s="83" t="n">
        <x:v>0</x:v>
      </x:c>
      <x:c r="Q73" s="84" t="n">
        <x:v>0</x:v>
      </x:c>
      <x:c r="R73" s="64" t="str">
        <x:v>Média</x:v>
      </x:c>
      <x:c r="S73" s="63" t="str">
        <x:v>Gestão, operações, CRM/BDC, marketing e vendas automotivas</x:v>
      </x:c>
      <x:c r="T73" s="63" t="str">
        <x:v>Médio</x:v>
      </x:c>
      <x:c r="U73" s="63" t="str">
        <x:v>Solução voltada ao ecossistema automotivo; seguidores tendem a incluir gestores e operadores.</x:v>
      </x:c>
      <x:c r="V73" s="63" t="str">
        <x:v>Apify · Instagram Scraper</x:v>
      </x:c>
      <x:c r="W73" s="63" t="str">
        <x:v>2026-10-07</x:v>
      </x:c>
    </x:row>
    <x:row r="74">
      <x:c r="A74" s="64" t="n">
        <x:v>65</x:v>
      </x:c>
      <x:c r="B74" s="64" t="str">
        <x:v>B</x:v>
      </x:c>
      <x:c r="C74" s="64" t="str">
        <x:v>Monitorar</x:v>
      </x:c>
      <x:c r="D74" s="64" t="n">
        <x:v>50</x:v>
      </x:c>
      <x:c r="E74" s="63" t="str">
        <x:v>Marketing / geração de demanda</x:v>
      </x:c>
      <x:c r="F74" s="63" t="str">
        <x:v>DMA - Marketing Automotivo</x:v>
      </x:c>
      <x:c r="G74" s="63" t="str">
        <x:v>@dma.mkt</x:v>
      </x:c>
      <x:c r="H74" s="63" t="str">
        <x:v>https://www.instagram.com/dma.mkt</x:v>
      </x:c>
      <x:c r="I74" s="63" t="str">
        <x:v>DMA - Damato Marketing Automotivo. Solução 360° de Marketing Automotivo, Fale Conosco.</x:v>
      </x:c>
      <x:c r="J74" s="83" t="n">
        <x:v>4316</x:v>
      </x:c>
      <x:c r="K74" s="83" t="n">
        <x:v>595</x:v>
      </x:c>
      <x:c r="L74" s="64" t="str">
        <x:v>Sim</x:v>
      </x:c>
      <x:c r="M74" s="64" t="str">
        <x:v>Não</x:v>
      </x:c>
      <x:c r="N74" s="64" t="str">
        <x:v>2026-06-18</x:v>
      </x:c>
      <x:c r="O74" s="64" t="str">
        <x:v>Desatualizado &gt;90d</x:v>
      </x:c>
      <x:c r="P74" s="83" t="n">
        <x:v>0</x:v>
      </x:c>
      <x:c r="Q74" s="84" t="n">
        <x:v>0</x:v>
      </x:c>
      <x:c r="R74" s="64" t="str">
        <x:v>Média</x:v>
      </x:c>
      <x:c r="S74" s="63" t="str">
        <x:v>Lojistas, concessionárias, vendedores e gestores comerciais</x:v>
      </x:c>
      <x:c r="T74" s="63" t="str">
        <x:v>Médio</x:v>
      </x:c>
      <x:c r="U74" s="63" t="str">
        <x:v>Aderência útil, mas exige validar cargo/empresa dos engajados.</x:v>
      </x:c>
      <x:c r="V74" s="63" t="str">
        <x:v>Apify · Instagram Scraper</x:v>
      </x:c>
      <x:c r="W74" s="63" t="str">
        <x:v>2026-10-07</x:v>
      </x:c>
    </x:row>
    <x:row r="75">
      <x:c r="A75" s="64" t="n">
        <x:v>66</x:v>
      </x:c>
      <x:c r="B75" s="64" t="str">
        <x:v>B</x:v>
      </x:c>
      <x:c r="C75" s="64" t="str">
        <x:v>Monitorar</x:v>
      </x:c>
      <x:c r="D75" s="64" t="n">
        <x:v>50</x:v>
      </x:c>
      <x:c r="E75" s="63" t="str">
        <x:v>Marketing / geração de demanda</x:v>
      </x:c>
      <x:c r="F75" s="63" t="str">
        <x:v>Luiz Eduardo | Leads Automotivos</x:v>
      </x:c>
      <x:c r="G75" s="63" t="str">
        <x:v>@luizeduardo.autoexpertcnm</x:v>
      </x:c>
      <x:c r="H75" s="63" t="str">
        <x:v>https://www.instagram.com/luizeduardo.autoexpertcnm</x:v>
      </x:c>
      <x:c r="I75" s="63" t="str">
        <x:v>Leads qualificados para lojistas 🚗 + contatos no WhatsApp, + vendas Especialista em anúncios automotivos 📲 Fale comigo e atraia clientes prontos</x:v>
      </x:c>
      <x:c r="J75" s="83" t="n">
        <x:v>820</x:v>
      </x:c>
      <x:c r="K75" s="83" t="n">
        <x:v>54</x:v>
      </x:c>
      <x:c r="L75" s="64" t="str">
        <x:v>Sim</x:v>
      </x:c>
      <x:c r="M75" s="64" t="str">
        <x:v>Não</x:v>
      </x:c>
      <x:c r="N75" s="64" t="str">
        <x:v>2026-06-01</x:v>
      </x:c>
      <x:c r="O75" s="64" t="str">
        <x:v>Desatualizado &gt;90d</x:v>
      </x:c>
      <x:c r="P75" s="83" t="n">
        <x:v>0</x:v>
      </x:c>
      <x:c r="Q75" s="84" t="n">
        <x:v>0</x:v>
      </x:c>
      <x:c r="R75" s="64" t="str">
        <x:v>Média</x:v>
      </x:c>
      <x:c r="S75" s="63" t="str">
        <x:v>Lojistas, concessionárias, vendedores e gestores comerciais</x:v>
      </x:c>
      <x:c r="T75" s="63" t="str">
        <x:v>Médio</x:v>
      </x:c>
      <x:c r="U75" s="63" t="str">
        <x:v>Aderência útil, mas exige validar cargo/empresa dos engajados.</x:v>
      </x:c>
      <x:c r="V75" s="63" t="str">
        <x:v>Apify · Instagram Scraper</x:v>
      </x:c>
      <x:c r="W75" s="63" t="str">
        <x:v>2026-10-07</x:v>
      </x:c>
    </x:row>
    <x:row r="76">
      <x:c r="A76" s="64" t="n">
        <x:v>67</x:v>
      </x:c>
      <x:c r="B76" s="64" t="str">
        <x:v>B</x:v>
      </x:c>
      <x:c r="C76" s="64" t="str">
        <x:v>Monitorar</x:v>
      </x:c>
      <x:c r="D76" s="64" t="n">
        <x:v>50</x:v>
      </x:c>
      <x:c r="E76" s="63" t="str">
        <x:v>Associação / entidade</x:v>
      </x:c>
      <x:c r="F76" s="63" t="str">
        <x:v>SINCODIV-RJ</x:v>
      </x:c>
      <x:c r="G76" s="63" t="str">
        <x:v>@sincodivrj</x:v>
      </x:c>
      <x:c r="H76" s="63" t="str">
        <x:v>https://www.instagram.com/sincodivrj</x:v>
      </x:c>
      <x:c r="I76" s="63" t="str">
        <x:v>🏬 Sindicato dos Concessionários e Distribuidores de Veículos Automotores do Estado do Rio de Janeiro 📩 Email: contato@sincodiv-rj.com.br 📞 2431-1483</x:v>
      </x:c>
      <x:c r="J76" s="83" t="n">
        <x:v>123</x:v>
      </x:c>
      <x:c r="K76" s="83" t="n">
        <x:v>2</x:v>
      </x:c>
      <x:c r="L76" s="64" t="str">
        <x:v>Sim</x:v>
      </x:c>
      <x:c r="M76" s="64" t="str">
        <x:v>Não</x:v>
      </x:c>
      <x:c r="N76" s="64" t="str">
        <x:v>2020-01-31</x:v>
      </x:c>
      <x:c r="O76" s="64" t="str">
        <x:v>Desatualizado &gt;90d</x:v>
      </x:c>
      <x:c r="P76" s="83" t="n">
        <x:v>0</x:v>
      </x:c>
      <x:c r="Q76" s="84" t="n">
        <x:v>0</x:v>
      </x:c>
      <x:c r="R76" s="64" t="str">
        <x:v>Média</x:v>
      </x:c>
      <x:c r="S76" s="63" t="str">
        <x:v>Concessionários, distribuidores, dirigentes e gestores</x:v>
      </x:c>
      <x:c r="T76" s="63" t="str">
        <x:v>Médio</x:v>
      </x:c>
      <x:c r="U76" s="63" t="str">
        <x:v>Concentra concessionários e gestores; boa fonte de eventos, dirigentes e comentários profissionais.</x:v>
      </x:c>
      <x:c r="V76" s="63" t="str">
        <x:v>Apify · Instagram Scraper</x:v>
      </x:c>
      <x:c r="W76" s="63" t="str">
        <x:v>2026-10-07</x:v>
      </x:c>
    </x:row>
    <x:row r="77">
      <x:c r="A77" s="64" t="n">
        <x:v>68</x:v>
      </x:c>
      <x:c r="B77" s="64" t="str">
        <x:v>B</x:v>
      </x:c>
      <x:c r="C77" s="64" t="str">
        <x:v>Monitorar</x:v>
      </x:c>
      <x:c r="D77" s="64" t="n">
        <x:v>50</x:v>
      </x:c>
      <x:c r="E77" s="63" t="str">
        <x:v>Tecnologia / serviço B2B</x:v>
      </x:c>
      <x:c r="F77" s="63" t="str">
        <x:v>Modernize | Gestão de Revendas</x:v>
      </x:c>
      <x:c r="G77" s="63" t="str">
        <x:v>@modernizeauto</x:v>
      </x:c>
      <x:c r="H77" s="63" t="str">
        <x:v>https://www.instagram.com/modernizeauto</x:v>
      </x:c>
      <x:c r="I77" s="63" t="str">
        <x:v>Para revendas de veículos 🚗 Estoque, contratos e documentos 📂 Relatórios de vendas e lucro 📊 Pós-venda automatizada no WhatsApp 💬</x:v>
      </x:c>
      <x:c r="J77" s="83" t="n">
        <x:v>95</x:v>
      </x:c>
      <x:c r="K77" s="83" t="n">
        <x:v>10</x:v>
      </x:c>
      <x:c r="L77" s="64" t="str">
        <x:v>Sim</x:v>
      </x:c>
      <x:c r="M77" s="64" t="str">
        <x:v>Não</x:v>
      </x:c>
      <x:c r="N77" s="64" t="str">
        <x:v>2026-03-17</x:v>
      </x:c>
      <x:c r="O77" s="64" t="str">
        <x:v>Desatualizado &gt;90d</x:v>
      </x:c>
      <x:c r="P77" s="83" t="n">
        <x:v>0</x:v>
      </x:c>
      <x:c r="Q77" s="84" t="n">
        <x:v>0</x:v>
      </x:c>
      <x:c r="R77" s="64" t="str">
        <x:v>Média</x:v>
      </x:c>
      <x:c r="S77" s="63" t="str">
        <x:v>Gestão, operações, CRM/BDC, marketing e vendas automotivas</x:v>
      </x:c>
      <x:c r="T77" s="63" t="str">
        <x:v>Médio</x:v>
      </x:c>
      <x:c r="U77" s="63" t="str">
        <x:v>Solução voltada ao ecossistema automotivo; seguidores tendem a incluir gestores e operadores.</x:v>
      </x:c>
      <x:c r="V77" s="63" t="str">
        <x:v>Apify · Instagram Scraper</x:v>
      </x:c>
      <x:c r="W77" s="63" t="str">
        <x:v>2026-10-07</x:v>
      </x:c>
    </x:row>
    <x:row r="78">
      <x:c r="A78" s="64" t="n">
        <x:v>69</x:v>
      </x:c>
      <x:c r="B78" s="64" t="str">
        <x:v>B</x:v>
      </x:c>
      <x:c r="C78" s="64" t="str">
        <x:v>Monitorar</x:v>
      </x:c>
      <x:c r="D78" s="64" t="n">
        <x:v>50</x:v>
      </x:c>
      <x:c r="E78" s="63" t="str">
        <x:v>Tecnologia / serviço B2B</x:v>
      </x:c>
      <x:c r="F78" s="63" t="str">
        <x:v>GridLead ⚡️CRM Automotivo</x:v>
      </x:c>
      <x:c r="G78" s="63" t="str">
        <x:v>@grid.lead</x:v>
      </x:c>
      <x:c r="H78" s="63" t="str">
        <x:v>https://www.instagram.com/grid.lead</x:v>
      </x:c>
      <x:c r="I78" s="63" t="str">
        <x:v>Plataforma de vendas para lojas de veículos. IA que responde seu lead em 47”. WhatsApp nativo · Pipeline visual · Dashboard 🔗 Teste grátis 7 dias ↓</x:v>
      </x:c>
      <x:c r="J78" s="83" t="n">
        <x:v>24</x:v>
      </x:c>
      <x:c r="K78" s="83" t="n">
        <x:v>14</x:v>
      </x:c>
      <x:c r="L78" s="64" t="str">
        <x:v>Sim</x:v>
      </x:c>
      <x:c r="M78" s="64" t="str">
        <x:v>Não</x:v>
      </x:c>
      <x:c r="N78" s="64" t="str">
        <x:v>2026-04-15</x:v>
      </x:c>
      <x:c r="O78" s="64" t="str">
        <x:v>Desatualizado &gt;90d</x:v>
      </x:c>
      <x:c r="P78" s="83" t="n">
        <x:v>0</x:v>
      </x:c>
      <x:c r="Q78" s="84" t="n">
        <x:v>0</x:v>
      </x:c>
      <x:c r="R78" s="64" t="str">
        <x:v>Média</x:v>
      </x:c>
      <x:c r="S78" s="63" t="str">
        <x:v>Gestão, operações, CRM/BDC, marketing e vendas automotivas</x:v>
      </x:c>
      <x:c r="T78" s="63" t="str">
        <x:v>Médio</x:v>
      </x:c>
      <x:c r="U78" s="63" t="str">
        <x:v>Solução voltada ao ecossistema automotivo; seguidores tendem a incluir gestores e operadores.</x:v>
      </x:c>
      <x:c r="V78" s="63" t="str">
        <x:v>Apify · Instagram Scraper</x:v>
      </x:c>
      <x:c r="W78" s="63" t="str">
        <x:v>2026-10-07</x:v>
      </x:c>
    </x:row>
    <x:row r="79">
      <x:c r="A79" s="64" t="n">
        <x:v>70</x:v>
      </x:c>
      <x:c r="B79" s="64" t="str">
        <x:v>B</x:v>
      </x:c>
      <x:c r="C79" s="64" t="str">
        <x:v>Monitorar</x:v>
      </x:c>
      <x:c r="D79" s="64" t="n">
        <x:v>50</x:v>
      </x:c>
      <x:c r="E79" s="63" t="str">
        <x:v>Tecnologia / serviço B2B</x:v>
      </x:c>
      <x:c r="F79" s="63" t="str">
        <x:v>Velo Crm Automotivo</x:v>
      </x:c>
      <x:c r="G79" s="63" t="str">
        <x:v>@veloleadbr</x:v>
      </x:c>
      <x:c r="H79" s="63" t="str">
        <x:v>https://www.instagram.com/veloleadbr</x:v>
      </x:c>
      <x:c r="I79" s="63" t="str">
        <x:v>Sem bio pública coletada</x:v>
      </x:c>
      <x:c r="J79" s="83" t="n">
        <x:v>1</x:v>
      </x:c>
      <x:c r="K79" s="83" t="n">
        <x:v>7</x:v>
      </x:c>
      <x:c r="L79" s="64" t="str">
        <x:v>Sim</x:v>
      </x:c>
      <x:c r="M79" s="64" t="str">
        <x:v>Não</x:v>
      </x:c>
      <x:c r="N79" s="64" t="str">
        <x:v>2026-07-07</x:v>
      </x:c>
      <x:c r="O79" s="64" t="str">
        <x:v>Desatualizado &gt;90d</x:v>
      </x:c>
      <x:c r="P79" s="83" t="n">
        <x:v>0</x:v>
      </x:c>
      <x:c r="Q79" s="84" t="n">
        <x:v>0</x:v>
      </x:c>
      <x:c r="R79" s="64" t="str">
        <x:v>Média</x:v>
      </x:c>
      <x:c r="S79" s="63" t="str">
        <x:v>Gestão, operações, CRM/BDC, marketing e vendas automotivas</x:v>
      </x:c>
      <x:c r="T79" s="63" t="str">
        <x:v>Médio</x:v>
      </x:c>
      <x:c r="U79" s="63" t="str">
        <x:v>Solução voltada ao ecossistema automotivo; seguidores tendem a incluir gestores e operadores.</x:v>
      </x:c>
      <x:c r="V79" s="63" t="str">
        <x:v>Apify · Instagram Scraper</x:v>
      </x:c>
      <x:c r="W79" s="63" t="str">
        <x:v>2026-10-07</x:v>
      </x:c>
    </x:row>
    <x:row r="80">
      <x:c r="A80" s="64" t="n">
        <x:v>71</x:v>
      </x:c>
      <x:c r="B80" s="64" t="str">
        <x:v>C</x:v>
      </x:c>
      <x:c r="C80" s="64" t="str">
        <x:v>Radar apenas</x:v>
      </x:c>
      <x:c r="D80" s="64" t="n">
        <x:v>57</x:v>
      </x:c>
      <x:c r="E80" s="63" t="str">
        <x:v>Pessoa / executivo automotivo</x:v>
      </x:c>
      <x:c r="F80" s="63" t="str">
        <x:v>Para amantes de carros!</x:v>
      </x:c>
      <x:c r="G80" s="63" t="str">
        <x:v>@paulovonixx</x:v>
      </x:c>
      <x:c r="H80" s="63" t="str">
        <x:v>https://www.instagram.com/paulovonixx</x:v>
      </x:c>
      <x:c r="I80" s="63" t="str">
        <x:v>CEO da maior indústria de cosméticos automotivos da América Latina! 🚀 @vonixx</x:v>
      </x:c>
      <x:c r="J80" s="83" t="n">
        <x:v>1127852</x:v>
      </x:c>
      <x:c r="K80" s="83" t="n">
        <x:v>3378</x:v>
      </x:c>
      <x:c r="L80" s="64" t="str">
        <x:v>Não</x:v>
      </x:c>
      <x:c r="M80" s="64" t="str">
        <x:v>Sim</x:v>
      </x:c>
      <x:c r="N80" s="64" t="str">
        <x:v>2026-10-07</x:v>
      </x:c>
      <x:c r="O80" s="64" t="str">
        <x:v>Ativo ≤30d</x:v>
      </x:c>
      <x:c r="P80" s="83" t="n">
        <x:v>46941</x:v>
      </x:c>
      <x:c r="Q80" s="84" t="n">
        <x:v>5225.7</x:v>
      </x:c>
      <x:c r="R80" s="64" t="str">
        <x:v>Baixa</x:v>
      </x:c>
      <x:c r="S80" s="63" t="str">
        <x:v>Executivos, gerentes, vendedores e profissionais automotivos</x:v>
      </x:c>
      <x:c r="T80" s="63" t="str">
        <x:v>Alto</x:v>
      </x:c>
      <x:c r="U80" s="63" t="str">
        <x:v>Audiência mais ampla ou voltada ao consumidor; usar somente como radar.</x:v>
      </x:c>
      <x:c r="V80" s="63" t="str">
        <x:v>Apify · Instagram Scraper</x:v>
      </x:c>
      <x:c r="W80" s="63" t="str">
        <x:v>2026-10-07</x:v>
      </x:c>
    </x:row>
    <x:row r="81">
      <x:c r="A81" s="64" t="n">
        <x:v>72</x:v>
      </x:c>
      <x:c r="B81" s="64" t="str">
        <x:v>C</x:v>
      </x:c>
      <x:c r="C81" s="64" t="str">
        <x:v>Radar apenas</x:v>
      </x:c>
      <x:c r="D81" s="64" t="n">
        <x:v>57</x:v>
      </x:c>
      <x:c r="E81" s="63" t="str">
        <x:v>Tecnologia / serviço B2B</x:v>
      </x:c>
      <x:c r="F81" s="63" t="str">
        <x:v>Digital Drive</x:v>
      </x:c>
      <x:c r="G81" s="63" t="str">
        <x:v>@digitaldrivebr</x:v>
      </x:c>
      <x:c r="H81" s="63" t="str">
        <x:v>https://www.instagram.com/digitaldrivebr</x:v>
      </x:c>
      <x:c r="I81" s="63" t="str">
        <x:v>📈Maior marketplace especializado em carros 0km do Brasil. 🤝Compre direto de concessionárias autorizadas ao melhor PREÇO. 💰🚘</x:v>
      </x:c>
      <x:c r="J81" s="83" t="n">
        <x:v>40687</x:v>
      </x:c>
      <x:c r="K81" s="83" t="n">
        <x:v>197</x:v>
      </x:c>
      <x:c r="L81" s="64" t="str">
        <x:v>Sim</x:v>
      </x:c>
      <x:c r="M81" s="64" t="str">
        <x:v>Não</x:v>
      </x:c>
      <x:c r="N81" s="64" t="str">
        <x:v>2026-10-07</x:v>
      </x:c>
      <x:c r="O81" s="64" t="str">
        <x:v>Ativo ≤30d</x:v>
      </x:c>
      <x:c r="P81" s="83" t="n">
        <x:v>399</x:v>
      </x:c>
      <x:c r="Q81" s="84" t="n">
        <x:v>89.2</x:v>
      </x:c>
      <x:c r="R81" s="64" t="str">
        <x:v>Baixa</x:v>
      </x:c>
      <x:c r="S81" s="63" t="str">
        <x:v>Gestão, operações, CRM/BDC, marketing e vendas automotivas</x:v>
      </x:c>
      <x:c r="T81" s="63" t="str">
        <x:v>Alto</x:v>
      </x:c>
      <x:c r="U81" s="63" t="str">
        <x:v>Audiência mais ampla ou voltada ao consumidor; usar somente como radar.</x:v>
      </x:c>
      <x:c r="V81" s="63" t="str">
        <x:v>Apify · Instagram Scraper</x:v>
      </x:c>
      <x:c r="W81" s="63" t="str">
        <x:v>2026-10-07</x:v>
      </x:c>
    </x:row>
    <x:row r="82">
      <x:c r="A82" s="64" t="n">
        <x:v>73</x:v>
      </x:c>
      <x:c r="B82" s="64" t="str">
        <x:v>C</x:v>
      </x:c>
      <x:c r="C82" s="64" t="str">
        <x:v>Radar apenas</x:v>
      </x:c>
      <x:c r="D82" s="64" t="n">
        <x:v>57</x:v>
      </x:c>
      <x:c r="E82" s="63" t="str">
        <x:v>Pessoa / executivo automotivo</x:v>
      </x:c>
      <x:c r="F82" s="63" t="str">
        <x:v>Yan  Marques | Vendas e Liderança</x:v>
      </x:c>
      <x:c r="G82" s="63" t="str">
        <x:v>@oyanmarques</x:v>
      </x:c>
      <x:c r="H82" s="63" t="str">
        <x:v>https://www.instagram.com/oyanmarques</x:v>
      </x:c>
      <x:c r="I82" s="63" t="str">
        <x:v>Pai | | Cristão | Mentor | Palestrante | Empresário +42M em vendas estruturando processos comerciais. 📖 Palavra que Traz Oxigênio, às 7h👇🏻</x:v>
      </x:c>
      <x:c r="J82" s="83" t="n">
        <x:v>364257</x:v>
      </x:c>
      <x:c r="K82" s="83" t="n">
        <x:v>5277</x:v>
      </x:c>
      <x:c r="L82" s="64" t="str">
        <x:v>Não</x:v>
      </x:c>
      <x:c r="M82" s="64" t="str">
        <x:v>Sim</x:v>
      </x:c>
      <x:c r="N82" s="64" t="str">
        <x:v>2026-10-08</x:v>
      </x:c>
      <x:c r="O82" s="64" t="str">
        <x:v>Ativo ≤30d</x:v>
      </x:c>
      <x:c r="P82" s="83" t="n">
        <x:v>74</x:v>
      </x:c>
      <x:c r="Q82" s="84" t="n">
        <x:v>32.1</x:v>
      </x:c>
      <x:c r="R82" s="64" t="str">
        <x:v>Baixa</x:v>
      </x:c>
      <x:c r="S82" s="63" t="str">
        <x:v>Executivos, gerentes, vendedores e profissionais automotivos</x:v>
      </x:c>
      <x:c r="T82" s="63" t="str">
        <x:v>Alto</x:v>
      </x:c>
      <x:c r="U82" s="63" t="str">
        <x:v>Audiência mais ampla ou voltada ao consumidor; usar somente como radar.</x:v>
      </x:c>
      <x:c r="V82" s="63" t="str">
        <x:v>Apify · Instagram Scraper</x:v>
      </x:c>
      <x:c r="W82" s="63" t="str">
        <x:v>2026-10-07</x:v>
      </x:c>
    </x:row>
    <x:row r="83">
      <x:c r="A83" s="64" t="n">
        <x:v>74</x:v>
      </x:c>
      <x:c r="B83" s="64" t="str">
        <x:v>C</x:v>
      </x:c>
      <x:c r="C83" s="64" t="str">
        <x:v>Radar apenas</x:v>
      </x:c>
      <x:c r="D83" s="64" t="n">
        <x:v>57</x:v>
      </x:c>
      <x:c r="E83" s="63" t="str">
        <x:v>Educação / consultoria</x:v>
      </x:c>
      <x:c r="F83" s="63" t="str">
        <x:v>Treinamento de Vendas | PapoDeVendedor</x:v>
      </x:c>
      <x:c r="G83" s="63" t="str">
        <x:v>@supervendedores</x:v>
      </x:c>
      <x:c r="H83" s="63" t="str">
        <x:v>https://www.instagram.com/supervendedores</x:v>
      </x:c>
      <x:c r="I83" s="63" t="str">
        <x:v>🥇 Aprenda a vender de forma inteligente! 🤝 Cursos e treinamentos sobre vendas 🎙 Podcast | Papo de Vendedor Acesse nossos conteúdos 👇</x:v>
      </x:c>
      <x:c r="J83" s="83" t="n">
        <x:v>76242</x:v>
      </x:c>
      <x:c r="K83" s="83" t="n">
        <x:v>838</x:v>
      </x:c>
      <x:c r="L83" s="64" t="str">
        <x:v>Sim</x:v>
      </x:c>
      <x:c r="M83" s="64" t="str">
        <x:v>Não</x:v>
      </x:c>
      <x:c r="N83" s="64" t="str">
        <x:v>2026-10-07</x:v>
      </x:c>
      <x:c r="O83" s="64" t="str">
        <x:v>Ativo ≤30d</x:v>
      </x:c>
      <x:c r="P83" s="83" t="n">
        <x:v>70</x:v>
      </x:c>
      <x:c r="Q83" s="84" t="n">
        <x:v>10.8</x:v>
      </x:c>
      <x:c r="R83" s="64" t="str">
        <x:v>Baixa</x:v>
      </x:c>
      <x:c r="S83" s="63" t="str">
        <x:v>Donos, líderes e equipes de concessionárias e varejo automotivo</x:v>
      </x:c>
      <x:c r="T83" s="63" t="str">
        <x:v>Alto</x:v>
      </x:c>
      <x:c r="U83" s="63" t="str">
        <x:v>Audiência mais ampla ou voltada ao consumidor; usar somente como radar.</x:v>
      </x:c>
      <x:c r="V83" s="63" t="str">
        <x:v>Apify · Instagram Scraper</x:v>
      </x:c>
      <x:c r="W83" s="63" t="str">
        <x:v>2026-10-07</x:v>
      </x:c>
    </x:row>
    <x:row r="84">
      <x:c r="A84" s="64" t="n">
        <x:v>75</x:v>
      </x:c>
      <x:c r="B84" s="64" t="str">
        <x:v>C</x:v>
      </x:c>
      <x:c r="C84" s="64" t="str">
        <x:v>Radar apenas</x:v>
      </x:c>
      <x:c r="D84" s="64" t="n">
        <x:v>54</x:v>
      </x:c>
      <x:c r="E84" s="63" t="str">
        <x:v>Pessoa / executivo automotivo</x:v>
      </x:c>
      <x:c r="F84" s="63" t="str">
        <x:v>Patrick Lobato G. Automotiva</x:v>
      </x:c>
      <x:c r="G84" s="63" t="str">
        <x:v>@patricklobato.gestaoautomotiva</x:v>
      </x:c>
      <x:c r="H84" s="63" t="str">
        <x:v>https://www.instagram.com/patricklobato.gestaoautomotiva</x:v>
      </x:c>
      <x:c r="I84" s="63" t="str">
        <x:v>Experiência, transparência e um novo conceito. ✨ Veículos selecionados com qualidade e procedência. 🚘 📍 R. João Jacob Bainy, 1381</x:v>
      </x:c>
      <x:c r="J84" s="83" t="n">
        <x:v>2168</x:v>
      </x:c>
      <x:c r="K84" s="83" t="n">
        <x:v>295</x:v>
      </x:c>
      <x:c r="L84" s="64" t="str">
        <x:v>Não</x:v>
      </x:c>
      <x:c r="M84" s="64" t="str">
        <x:v>Não</x:v>
      </x:c>
      <x:c r="N84" s="64" t="str">
        <x:v>2026-10-05</x:v>
      </x:c>
      <x:c r="O84" s="64" t="str">
        <x:v>Ativo ≤30d</x:v>
      </x:c>
      <x:c r="P84" s="83" t="n">
        <x:v>214</x:v>
      </x:c>
      <x:c r="Q84" s="84" t="n">
        <x:v>20.2</x:v>
      </x:c>
      <x:c r="R84" s="64" t="str">
        <x:v>Baixa</x:v>
      </x:c>
      <x:c r="S84" s="63" t="str">
        <x:v>Executivos, gerentes, vendedores e profissionais automotivos</x:v>
      </x:c>
      <x:c r="T84" s="63" t="str">
        <x:v>Alto</x:v>
      </x:c>
      <x:c r="U84" s="63" t="str">
        <x:v>Audiência mais ampla ou voltada ao consumidor; usar somente como radar.</x:v>
      </x:c>
      <x:c r="V84" s="63" t="str">
        <x:v>Apify · Instagram Scraper</x:v>
      </x:c>
      <x:c r="W84" s="63" t="str">
        <x:v>2026-10-07</x:v>
      </x:c>
    </x:row>
    <x:row r="85">
      <x:c r="A85" s="64" t="n">
        <x:v>76</x:v>
      </x:c>
      <x:c r="B85" s="64" t="str">
        <x:v>C</x:v>
      </x:c>
      <x:c r="C85" s="64" t="str">
        <x:v>Radar apenas</x:v>
      </x:c>
      <x:c r="D85" s="64" t="n">
        <x:v>54</x:v>
      </x:c>
      <x:c r="E85" s="63" t="str">
        <x:v>Mídia / podcast</x:v>
      </x:c>
      <x:c r="F85" s="63" t="str">
        <x:v>MECANAÇO | Podcast automotivo</x:v>
      </x:c>
      <x:c r="G85" s="63" t="str">
        <x:v>@mecanaco</x:v>
      </x:c>
      <x:c r="H85" s="63" t="str">
        <x:v>https://www.instagram.com/mecanaco</x:v>
      </x:c>
      <x:c r="I85" s="63" t="str">
        <x:v>Mecanaço é tipo: Mecanico foda</x:v>
      </x:c>
      <x:c r="J85" s="83" t="n">
        <x:v>919</x:v>
      </x:c>
      <x:c r="K85" s="83" t="n">
        <x:v>159</x:v>
      </x:c>
      <x:c r="L85" s="64" t="str">
        <x:v>Não</x:v>
      </x:c>
      <x:c r="M85" s="64" t="str">
        <x:v>Não</x:v>
      </x:c>
      <x:c r="N85" s="64" t="str">
        <x:v>2026-09-26</x:v>
      </x:c>
      <x:c r="O85" s="64" t="str">
        <x:v>Ativo ≤30d</x:v>
      </x:c>
      <x:c r="P85" s="83" t="n">
        <x:v>129</x:v>
      </x:c>
      <x:c r="Q85" s="84" t="n">
        <x:v>16.9</x:v>
      </x:c>
      <x:c r="R85" s="64" t="str">
        <x:v>Baixa</x:v>
      </x:c>
      <x:c r="S85" s="63" t="str">
        <x:v>Executivos, gestores e profissionais do setor automotivo</x:v>
      </x:c>
      <x:c r="T85" s="63" t="str">
        <x:v>Alto</x:v>
      </x:c>
      <x:c r="U85" s="63" t="str">
        <x:v>Audiência mais ampla ou voltada ao consumidor; usar somente como radar.</x:v>
      </x:c>
      <x:c r="V85" s="63" t="str">
        <x:v>Apify · Instagram Scraper</x:v>
      </x:c>
      <x:c r="W85" s="63" t="str">
        <x:v>2026-10-07</x:v>
      </x:c>
    </x:row>
    <x:row r="86">
      <x:c r="A86" s="64" t="n">
        <x:v>77</x:v>
      </x:c>
      <x:c r="B86" s="64" t="str">
        <x:v>C</x:v>
      </x:c>
      <x:c r="C86" s="64" t="str">
        <x:v>Radar apenas</x:v>
      </x:c>
      <x:c r="D86" s="64" t="n">
        <x:v>54</x:v>
      </x:c>
      <x:c r="E86" s="63" t="str">
        <x:v>Pessoa / executivo automotivo</x:v>
      </x:c>
      <x:c r="F86" s="63" t="str">
        <x:v>Rafael Patrício | Consultor Executivo Automotivo</x:v>
      </x:c>
      <x:c r="G86" s="63" t="str">
        <x:v>@rafaelpatricio_lider</x:v>
      </x:c>
      <x:c r="H86" s="63" t="str">
        <x:v>https://www.instagram.com/rafaelpatricio_lider</x:v>
      </x:c>
      <x:c r="I86" s="63" t="str">
        <x:v>🚗 Seu próximo carro está aqui 🤝 Consultoria e atendimento personalizado 🇧🇷 Atendimento para todo o país 👇 Consulte opções e faça sua simulação</x:v>
      </x:c>
      <x:c r="J86" s="83" t="n">
        <x:v>110</x:v>
      </x:c>
      <x:c r="K86" s="83" t="n">
        <x:v>8</x:v>
      </x:c>
      <x:c r="L86" s="64" t="str">
        <x:v>Sim</x:v>
      </x:c>
      <x:c r="M86" s="64" t="str">
        <x:v>Não</x:v>
      </x:c>
      <x:c r="N86" s="64" t="str">
        <x:v>2026-10-02</x:v>
      </x:c>
      <x:c r="O86" s="64" t="str">
        <x:v>Ativo ≤30d</x:v>
      </x:c>
      <x:c r="P86" s="83" t="n">
        <x:v>22</x:v>
      </x:c>
      <x:c r="Q86" s="84" t="n">
        <x:v>3</x:v>
      </x:c>
      <x:c r="R86" s="64" t="str">
        <x:v>Baixa</x:v>
      </x:c>
      <x:c r="S86" s="63" t="str">
        <x:v>Executivos, gerentes, vendedores e profissionais automotivos</x:v>
      </x:c>
      <x:c r="T86" s="63" t="str">
        <x:v>Alto</x:v>
      </x:c>
      <x:c r="U86" s="63" t="str">
        <x:v>Audiência mais ampla ou voltada ao consumidor; usar somente como radar.</x:v>
      </x:c>
      <x:c r="V86" s="63" t="str">
        <x:v>Apify · Instagram Scraper</x:v>
      </x:c>
      <x:c r="W86" s="63" t="str">
        <x:v>2026-10-07</x:v>
      </x:c>
    </x:row>
    <x:row r="87">
      <x:c r="A87" s="64" t="n">
        <x:v>78</x:v>
      </x:c>
      <x:c r="B87" s="64" t="str">
        <x:v>C</x:v>
      </x:c>
      <x:c r="C87" s="64" t="str">
        <x:v>Radar apenas</x:v>
      </x:c>
      <x:c r="D87" s="64" t="n">
        <x:v>51</x:v>
      </x:c>
      <x:c r="E87" s="63" t="str">
        <x:v>Pessoa / executivo automotivo</x:v>
      </x:c>
      <x:c r="F87" s="63" t="str">
        <x:v>Machado Vendas Automotivas</x:v>
      </x:c>
      <x:c r="G87" s="63" t="str">
        <x:v>@machadocarros</x:v>
      </x:c>
      <x:c r="H87" s="63" t="str">
        <x:v>https://www.instagram.com/machadocarros</x:v>
      </x:c>
      <x:c r="I87" s="63" t="str">
        <x:v>Realiza Veículos - Tijucas No Instagram desde Abril de 2020 Novos | Seminovos | Compra Olhe os destaques! 🔑🚘</x:v>
      </x:c>
      <x:c r="J87" s="83" t="n">
        <x:v>3207</x:v>
      </x:c>
      <x:c r="K87" s="83" t="n">
        <x:v>1104</x:v>
      </x:c>
      <x:c r="L87" s="64" t="str">
        <x:v>Não</x:v>
      </x:c>
      <x:c r="M87" s="64" t="str">
        <x:v>Sim</x:v>
      </x:c>
      <x:c r="N87" s="64" t="str">
        <x:v>2026-10-05</x:v>
      </x:c>
      <x:c r="O87" s="64" t="str">
        <x:v>Ativo ≤30d</x:v>
      </x:c>
      <x:c r="P87" s="83" t="n">
        <x:v>18</x:v>
      </x:c>
      <x:c r="Q87" s="84" t="n">
        <x:v>1.5</x:v>
      </x:c>
      <x:c r="R87" s="64" t="str">
        <x:v>Baixa</x:v>
      </x:c>
      <x:c r="S87" s="63" t="str">
        <x:v>Executivos, gerentes, vendedores e profissionais automotivos</x:v>
      </x:c>
      <x:c r="T87" s="63" t="str">
        <x:v>Alto</x:v>
      </x:c>
      <x:c r="U87" s="63" t="str">
        <x:v>Audiência mais ampla ou voltada ao consumidor; usar somente como radar.</x:v>
      </x:c>
      <x:c r="V87" s="63" t="str">
        <x:v>Apify · Instagram Scraper</x:v>
      </x:c>
      <x:c r="W87" s="63" t="str">
        <x:v>2026-10-07</x:v>
      </x:c>
    </x:row>
    <x:row r="88">
      <x:c r="A88" s="64" t="n">
        <x:v>79</x:v>
      </x:c>
      <x:c r="B88" s="64" t="str">
        <x:v>C</x:v>
      </x:c>
      <x:c r="C88" s="64" t="str">
        <x:v>Radar apenas</x:v>
      </x:c>
      <x:c r="D88" s="64" t="n">
        <x:v>51</x:v>
      </x:c>
      <x:c r="E88" s="63" t="str">
        <x:v>Pessoa / executivo automotivo</x:v>
      </x:c>
      <x:c r="F88" s="63" t="str">
        <x:v>Bruno Serafim | Honda Veículos</x:v>
      </x:c>
      <x:c r="G88" s="63" t="str">
        <x:v>@bruno_rserafim</x:v>
      </x:c>
      <x:c r="H88" s="63" t="str">
        <x:v>https://www.instagram.com/bruno_rserafim</x:v>
      </x:c>
      <x:c r="I88" s="63" t="str">
        <x:v>Consultor de Vendas | Honda Saitama 🚘 Seu próximo Honda começa aqui. ❤️ @lilian.serafim_ | 📲 Fale comigo 👇</x:v>
      </x:c>
      <x:c r="J88" s="83" t="n">
        <x:v>1405</x:v>
      </x:c>
      <x:c r="K88" s="83" t="n">
        <x:v>60</x:v>
      </x:c>
      <x:c r="L88" s="64" t="str">
        <x:v>Não</x:v>
      </x:c>
      <x:c r="M88" s="64" t="str">
        <x:v>Não</x:v>
      </x:c>
      <x:c r="N88" s="64" t="str">
        <x:v>2026-10-06</x:v>
      </x:c>
      <x:c r="O88" s="64" t="str">
        <x:v>Ativo ≤30d</x:v>
      </x:c>
      <x:c r="P88" s="83" t="n">
        <x:v>11</x:v>
      </x:c>
      <x:c r="Q88" s="84" t="n">
        <x:v>2.5</x:v>
      </x:c>
      <x:c r="R88" s="64" t="str">
        <x:v>Baixa</x:v>
      </x:c>
      <x:c r="S88" s="63" t="str">
        <x:v>Executivos, gerentes, vendedores e profissionais automotivos</x:v>
      </x:c>
      <x:c r="T88" s="63" t="str">
        <x:v>Alto</x:v>
      </x:c>
      <x:c r="U88" s="63" t="str">
        <x:v>Audiência mais ampla ou voltada ao consumidor; usar somente como radar.</x:v>
      </x:c>
      <x:c r="V88" s="63" t="str">
        <x:v>Apify · Instagram Scraper</x:v>
      </x:c>
      <x:c r="W88" s="63" t="str">
        <x:v>2026-10-07</x:v>
      </x:c>
    </x:row>
    <x:row r="89">
      <x:c r="A89" s="64" t="n">
        <x:v>80</x:v>
      </x:c>
      <x:c r="B89" s="64" t="str">
        <x:v>C</x:v>
      </x:c>
      <x:c r="C89" s="64" t="str">
        <x:v>Radar apenas</x:v>
      </x:c>
      <x:c r="D89" s="64" t="n">
        <x:v>51</x:v>
      </x:c>
      <x:c r="E89" s="63" t="str">
        <x:v>Mídia / podcast</x:v>
      </x:c>
      <x:c r="F89" s="63" t="str">
        <x:v>Aftermarket Automotivo</x:v>
      </x:c>
      <x:c r="G89" s="63" t="str">
        <x:v>@aftermarket.automotivo</x:v>
      </x:c>
      <x:c r="H89" s="63" t="str">
        <x:v>https://www.instagram.com/aftermarket.automotivo</x:v>
      </x:c>
      <x:c r="I89" s="63" t="str">
        <x:v>🏆 Principal plataforma para todo o trade do mercado de reposição 🔗 Indústria, distribuição, varejo e reparação ↓ Confira edições e conteúdos</x:v>
      </x:c>
      <x:c r="J89" s="83" t="n">
        <x:v>4983</x:v>
      </x:c>
      <x:c r="K89" s="83" t="n">
        <x:v>32</x:v>
      </x:c>
      <x:c r="L89" s="64" t="str">
        <x:v>Não</x:v>
      </x:c>
      <x:c r="M89" s="64" t="str">
        <x:v>Não</x:v>
      </x:c>
      <x:c r="N89" s="64" t="str">
        <x:v>2026-10-02</x:v>
      </x:c>
      <x:c r="O89" s="64" t="str">
        <x:v>Ativo ≤30d</x:v>
      </x:c>
      <x:c r="P89" s="83" t="n">
        <x:v>10</x:v>
      </x:c>
      <x:c r="Q89" s="84" t="n">
        <x:v>2.6</x:v>
      </x:c>
      <x:c r="R89" s="64" t="str">
        <x:v>Baixa</x:v>
      </x:c>
      <x:c r="S89" s="63" t="str">
        <x:v>Executivos, gestores e profissionais do setor automotivo</x:v>
      </x:c>
      <x:c r="T89" s="63" t="str">
        <x:v>Alto</x:v>
      </x:c>
      <x:c r="U89" s="63" t="str">
        <x:v>Audiência mais ampla ou voltada ao consumidor; usar somente como radar.</x:v>
      </x:c>
      <x:c r="V89" s="63" t="str">
        <x:v>Apify · Instagram Scraper</x:v>
      </x:c>
      <x:c r="W89" s="63" t="str">
        <x:v>2026-10-07</x:v>
      </x:c>
    </x:row>
    <x:row r="90">
      <x:c r="A90" s="64" t="n">
        <x:v>81</x:v>
      </x:c>
      <x:c r="B90" s="64" t="str">
        <x:v>C</x:v>
      </x:c>
      <x:c r="C90" s="64" t="str">
        <x:v>Radar apenas</x:v>
      </x:c>
      <x:c r="D90" s="64" t="n">
        <x:v>51</x:v>
      </x:c>
      <x:c r="E90" s="63" t="str">
        <x:v>Mídia / podcast</x:v>
      </x:c>
      <x:c r="F90" s="63" t="str">
        <x:v>NOTÍCIAS AUTOMOTIVAS® ★★★★★</x:v>
      </x:c>
      <x:c r="G90" s="63" t="str">
        <x:v>@automotivas</x:v>
      </x:c>
      <x:c r="H90" s="63" t="str">
        <x:v>https://www.instagram.com/automotivas</x:v>
      </x:c>
      <x:c r="I90" s="63" t="str">
        <x:v>🚘 Perfil oficial do site Notícias Automotivas 👇 Veja nosso site, canal do Youtube e canal no Telegram</x:v>
      </x:c>
      <x:c r="J90" s="83" t="n">
        <x:v>121451</x:v>
      </x:c>
      <x:c r="K90" s="83" t="n">
        <x:v>12051</x:v>
      </x:c>
      <x:c r="L90" s="64" t="str">
        <x:v>Sim</x:v>
      </x:c>
      <x:c r="M90" s="64" t="str">
        <x:v>Não</x:v>
      </x:c>
      <x:c r="N90" s="64" t="str">
        <x:v>2026-10-07</x:v>
      </x:c>
      <x:c r="O90" s="64" t="str">
        <x:v>Ativo ≤30d</x:v>
      </x:c>
      <x:c r="P90" s="83" t="n">
        <x:v>4</x:v>
      </x:c>
      <x:c r="Q90" s="84" t="n">
        <x:v>0.5</x:v>
      </x:c>
      <x:c r="R90" s="64" t="str">
        <x:v>Baixa</x:v>
      </x:c>
      <x:c r="S90" s="63" t="str">
        <x:v>Executivos, gestores e profissionais do setor automotivo</x:v>
      </x:c>
      <x:c r="T90" s="63" t="str">
        <x:v>Alto</x:v>
      </x:c>
      <x:c r="U90" s="63" t="str">
        <x:v>Audiência mais ampla ou voltada ao consumidor; usar somente como radar.</x:v>
      </x:c>
      <x:c r="V90" s="63" t="str">
        <x:v>Apify · Instagram Scraper</x:v>
      </x:c>
      <x:c r="W90" s="63" t="str">
        <x:v>2026-10-07</x:v>
      </x:c>
    </x:row>
    <x:row r="91">
      <x:c r="A91" s="64" t="n">
        <x:v>82</x:v>
      </x:c>
      <x:c r="B91" s="64" t="str">
        <x:v>C</x:v>
      </x:c>
      <x:c r="C91" s="64" t="str">
        <x:v>Radar apenas</x:v>
      </x:c>
      <x:c r="D91" s="64" t="n">
        <x:v>49</x:v>
      </x:c>
      <x:c r="E91" s="63" t="str">
        <x:v>Mídia / podcast</x:v>
      </x:c>
      <x:c r="F91" s="63" t="str">
        <x:v>PODCARS</x:v>
      </x:c>
      <x:c r="G91" s="63" t="str">
        <x:v>@podcarsoficiall</x:v>
      </x:c>
      <x:c r="H91" s="63" t="str">
        <x:v>https://www.instagram.com/podcarsoficiall</x:v>
      </x:c>
      <x:c r="I91" s="63" t="str">
        <x:v>O SEU PODCAST AUTOMOTIVO! Quarta às 20:00 LEVANDO O MELHOR DO CONTEÚDO AUTOMOTIVO PARA VOCÊ! 👇🏽 Click no link e acesse o canal 👇🏽</x:v>
      </x:c>
      <x:c r="J91" s="83" t="n">
        <x:v>9833</x:v>
      </x:c>
      <x:c r="K91" s="83" t="n">
        <x:v>190</x:v>
      </x:c>
      <x:c r="L91" s="64" t="str">
        <x:v>Não</x:v>
      </x:c>
      <x:c r="M91" s="64" t="str">
        <x:v>Não</x:v>
      </x:c>
      <x:c r="N91" s="64" t="str">
        <x:v>2026-08-19</x:v>
      </x:c>
      <x:c r="O91" s="64" t="str">
        <x:v>Ativo 31–90d</x:v>
      </x:c>
      <x:c r="P91" s="83" t="n">
        <x:v>154</x:v>
      </x:c>
      <x:c r="Q91" s="84" t="n">
        <x:v>35.9</x:v>
      </x:c>
      <x:c r="R91" s="64" t="str">
        <x:v>Baixa</x:v>
      </x:c>
      <x:c r="S91" s="63" t="str">
        <x:v>Executivos, gestores e profissionais do setor automotivo</x:v>
      </x:c>
      <x:c r="T91" s="63" t="str">
        <x:v>Alto</x:v>
      </x:c>
      <x:c r="U91" s="63" t="str">
        <x:v>Audiência mais ampla ou voltada ao consumidor; usar somente como radar.</x:v>
      </x:c>
      <x:c r="V91" s="63" t="str">
        <x:v>Apify · Instagram Scraper</x:v>
      </x:c>
      <x:c r="W91" s="63" t="str">
        <x:v>2026-10-07</x:v>
      </x:c>
    </x:row>
    <x:row r="92">
      <x:c r="A92" s="64" t="n">
        <x:v>83</x:v>
      </x:c>
      <x:c r="B92" s="64" t="str">
        <x:v>C</x:v>
      </x:c>
      <x:c r="C92" s="64" t="str">
        <x:v>Radar apenas</x:v>
      </x:c>
      <x:c r="D92" s="64" t="n">
        <x:v>48</x:v>
      </x:c>
      <x:c r="E92" s="63" t="str">
        <x:v>Mídia / podcast</x:v>
      </x:c>
      <x:c r="F92" s="63" t="str">
        <x:v>Radar Automotivo Podcast</x:v>
      </x:c>
      <x:c r="G92" s="63" t="str">
        <x:v>@podcast.radarautomotivo</x:v>
      </x:c>
      <x:c r="H92" s="63" t="str">
        <x:v>https://www.instagram.com/podcast.radarautomotivo</x:v>
      </x:c>
      <x:c r="I92" s="63" t="str">
        <x:v>O Radar já está na pista! Sintoniza aí na TV CIDADE CANAL 9 ou pelo link na bio. @podcastradarautomotivo Acelere com a gente e a @megaimportsturbo</x:v>
      </x:c>
      <x:c r="J92" s="83" t="n">
        <x:v>2602</x:v>
      </x:c>
      <x:c r="K92" s="83" t="n">
        <x:v>209</x:v>
      </x:c>
      <x:c r="L92" s="64" t="str">
        <x:v>Não</x:v>
      </x:c>
      <x:c r="M92" s="64" t="str">
        <x:v>Não</x:v>
      </x:c>
      <x:c r="N92" s="64" t="str">
        <x:v>2026-10-07</x:v>
      </x:c>
      <x:c r="O92" s="64" t="str">
        <x:v>Ativo ≤30d</x:v>
      </x:c>
      <x:c r="P92" s="83" t="n">
        <x:v>3</x:v>
      </x:c>
      <x:c r="Q92" s="84" t="n">
        <x:v>0.4</x:v>
      </x:c>
      <x:c r="R92" s="64" t="str">
        <x:v>Baixa</x:v>
      </x:c>
      <x:c r="S92" s="63" t="str">
        <x:v>Executivos, gestores e profissionais do setor automotivo</x:v>
      </x:c>
      <x:c r="T92" s="63" t="str">
        <x:v>Alto</x:v>
      </x:c>
      <x:c r="U92" s="63" t="str">
        <x:v>Audiência mais ampla ou voltada ao consumidor; usar somente como radar.</x:v>
      </x:c>
      <x:c r="V92" s="63" t="str">
        <x:v>Apify · Instagram Scraper</x:v>
      </x:c>
      <x:c r="W92" s="63" t="str">
        <x:v>2026-10-07</x:v>
      </x:c>
    </x:row>
    <x:row r="93">
      <x:c r="A93" s="64" t="n">
        <x:v>84</x:v>
      </x:c>
      <x:c r="B93" s="64" t="str">
        <x:v>C</x:v>
      </x:c>
      <x:c r="C93" s="64" t="str">
        <x:v>Radar apenas</x:v>
      </x:c>
      <x:c r="D93" s="64" t="n">
        <x:v>48</x:v>
      </x:c>
      <x:c r="E93" s="63" t="str">
        <x:v>Pessoa / executivo automotivo</x:v>
      </x:c>
      <x:c r="F93" s="63" t="str">
        <x:v>Lucas Vinicius | Volkswagen</x:v>
      </x:c>
      <x:c r="G93" s="63" t="str">
        <x:v>@viniciuslfrota</x:v>
      </x:c>
      <x:c r="H93" s="63" t="str">
        <x:v>https://www.instagram.com/viniciuslfrota</x:v>
      </x:c>
      <x:c r="I93" s="63" t="str">
        <x:v>🚘 Consultor Volkswagen | Florianópolis 🤝 0km • Seminovos • Seu usado na troca 💰 Condições especiais e financiamento 📲 Fale comigo no WhatsApp ↓</x:v>
      </x:c>
      <x:c r="J93" s="83" t="n">
        <x:v>373</x:v>
      </x:c>
      <x:c r="K93" s="83" t="n">
        <x:v>176</x:v>
      </x:c>
      <x:c r="L93" s="64" t="str">
        <x:v>Sim</x:v>
      </x:c>
      <x:c r="M93" s="64" t="str">
        <x:v>Não</x:v>
      </x:c>
      <x:c r="N93" s="64" t="str">
        <x:v>2026-10-05</x:v>
      </x:c>
      <x:c r="O93" s="64" t="str">
        <x:v>Ativo ≤30d</x:v>
      </x:c>
      <x:c r="P93" s="83" t="n">
        <x:v>3</x:v>
      </x:c>
      <x:c r="Q93" s="84" t="n">
        <x:v>0.5</x:v>
      </x:c>
      <x:c r="R93" s="64" t="str">
        <x:v>Baixa</x:v>
      </x:c>
      <x:c r="S93" s="63" t="str">
        <x:v>Executivos, gerentes, vendedores e profissionais automotivos</x:v>
      </x:c>
      <x:c r="T93" s="63" t="str">
        <x:v>Alto</x:v>
      </x:c>
      <x:c r="U93" s="63" t="str">
        <x:v>Audiência mais ampla ou voltada ao consumidor; usar somente como radar.</x:v>
      </x:c>
      <x:c r="V93" s="63" t="str">
        <x:v>Apify · Instagram Scraper</x:v>
      </x:c>
      <x:c r="W93" s="63" t="str">
        <x:v>2026-10-07</x:v>
      </x:c>
    </x:row>
    <x:row r="94">
      <x:c r="A94" s="64" t="n">
        <x:v>85</x:v>
      </x:c>
      <x:c r="B94" s="64" t="str">
        <x:v>C</x:v>
      </x:c>
      <x:c r="C94" s="64" t="str">
        <x:v>Radar apenas</x:v>
      </x:c>
      <x:c r="D94" s="64" t="n">
        <x:v>48</x:v>
      </x:c>
      <x:c r="E94" s="63" t="str">
        <x:v>Mídia / podcast</x:v>
      </x:c>
      <x:c r="F94" s="63" t="str">
        <x:v>Revista Mercado Automotivo</x:v>
      </x:c>
      <x:c r="G94" s="63" t="str">
        <x:v>@revistamercadoautomotivo</x:v>
      </x:c>
      <x:c r="H94" s="63" t="str">
        <x:v>https://www.instagram.com/revistamercadoautomotivo</x:v>
      </x:c>
      <x:c r="I94" s="63" t="str">
        <x:v>O canal de informação da reparação automotiva. 📊 Mercado • tendências • negócios • eventos 🚘 Conteúdo para quem faz o aftermarket acontecer. 👇 Acesse</x:v>
      </x:c>
      <x:c r="J94" s="83" t="n">
        <x:v>4257</x:v>
      </x:c>
      <x:c r="K94" s="83" t="n">
        <x:v>1048</x:v>
      </x:c>
      <x:c r="L94" s="64" t="str">
        <x:v>Sim</x:v>
      </x:c>
      <x:c r="M94" s="64" t="str">
        <x:v>Não</x:v>
      </x:c>
      <x:c r="N94" s="64" t="str">
        <x:v>2026-10-07</x:v>
      </x:c>
      <x:c r="O94" s="64" t="str">
        <x:v>Ativo ≤30d</x:v>
      </x:c>
      <x:c r="P94" s="83" t="n">
        <x:v>2</x:v>
      </x:c>
      <x:c r="Q94" s="84" t="n">
        <x:v>0.3</x:v>
      </x:c>
      <x:c r="R94" s="64" t="str">
        <x:v>Baixa</x:v>
      </x:c>
      <x:c r="S94" s="63" t="str">
        <x:v>Executivos, gestores e profissionais do setor automotivo</x:v>
      </x:c>
      <x:c r="T94" s="63" t="str">
        <x:v>Alto</x:v>
      </x:c>
      <x:c r="U94" s="63" t="str">
        <x:v>Audiência mais ampla ou voltada ao consumidor; usar somente como radar.</x:v>
      </x:c>
      <x:c r="V94" s="63" t="str">
        <x:v>Apify · Instagram Scraper</x:v>
      </x:c>
      <x:c r="W94" s="63" t="str">
        <x:v>2026-10-07</x:v>
      </x:c>
    </x:row>
    <x:row r="95">
      <x:c r="A95" s="64" t="n">
        <x:v>86</x:v>
      </x:c>
      <x:c r="B95" s="64" t="str">
        <x:v>C</x:v>
      </x:c>
      <x:c r="C95" s="64" t="str">
        <x:v>Radar apenas</x:v>
      </x:c>
      <x:c r="D95" s="64" t="n">
        <x:v>48</x:v>
      </x:c>
      <x:c r="E95" s="63" t="str">
        <x:v>Pessoa / executivo automotivo</x:v>
      </x:c>
      <x:c r="F95" s="63" t="str">
        <x:v>Rafa Premium</x:v>
      </x:c>
      <x:c r="G95" s="63" t="str">
        <x:v>@rafapremiium</x:v>
      </x:c>
      <x:c r="H95" s="63" t="str">
        <x:v>https://www.instagram.com/rafapremiium</x:v>
      </x:c>
      <x:c r="I95" s="63" t="str">
        <x:v>🚙 15 anos de Gestão Automotiva. 🥇Excelência no atendimento 🔸Estoque completo nos destaques ⬇️Seja atendido agora acessando o link</x:v>
      </x:c>
      <x:c r="J95" s="83" t="n">
        <x:v>2944</x:v>
      </x:c>
      <x:c r="K95" s="83" t="n">
        <x:v>713</x:v>
      </x:c>
      <x:c r="L95" s="64" t="str">
        <x:v>Não</x:v>
      </x:c>
      <x:c r="M95" s="64" t="str">
        <x:v>Não</x:v>
      </x:c>
      <x:c r="N95" s="64" t="str">
        <x:v>2026-10-07</x:v>
      </x:c>
      <x:c r="O95" s="64" t="str">
        <x:v>Ativo ≤30d</x:v>
      </x:c>
      <x:c r="P95" s="83" t="n">
        <x:v>2</x:v>
      </x:c>
      <x:c r="Q95" s="84" t="n">
        <x:v>0.2</x:v>
      </x:c>
      <x:c r="R95" s="64" t="str">
        <x:v>Baixa</x:v>
      </x:c>
      <x:c r="S95" s="63" t="str">
        <x:v>Executivos, gerentes, vendedores e profissionais automotivos</x:v>
      </x:c>
      <x:c r="T95" s="63" t="str">
        <x:v>Alto</x:v>
      </x:c>
      <x:c r="U95" s="63" t="str">
        <x:v>Audiência mais ampla ou voltada ao consumidor; usar somente como radar.</x:v>
      </x:c>
      <x:c r="V95" s="63" t="str">
        <x:v>Apify · Instagram Scraper</x:v>
      </x:c>
      <x:c r="W95" s="63" t="str">
        <x:v>2026-10-07</x:v>
      </x:c>
    </x:row>
    <x:row r="96">
      <x:c r="A96" s="64" t="n">
        <x:v>87</x:v>
      </x:c>
      <x:c r="B96" s="64" t="str">
        <x:v>C</x:v>
      </x:c>
      <x:c r="C96" s="64" t="str">
        <x:v>Radar apenas</x:v>
      </x:c>
      <x:c r="D96" s="64" t="n">
        <x:v>46</x:v>
      </x:c>
      <x:c r="E96" s="63" t="str">
        <x:v>Pessoa / executivo automotivo</x:v>
      </x:c>
      <x:c r="F96" s="63" t="str">
        <x:v>Filipe Elias</x:v>
      </x:c>
      <x:c r="G96" s="63" t="str">
        <x:v>@filipe_turimautos</x:v>
      </x:c>
      <x:c r="H96" s="63" t="str">
        <x:v>https://www.instagram.com/filipe_turimautos</x:v>
      </x:c>
      <x:c r="I96" s="63" t="str">
        <x:v>🚗 Ajudo você a comprar seu carro sem dor de cabeça! 📍Taubaté/SP | @turimautostaubate 🤝 Avalio seu usado na troca 👇 Chame no WhatsApp</x:v>
      </x:c>
      <x:c r="J96" s="83" t="n">
        <x:v>100</x:v>
      </x:c>
      <x:c r="K96" s="83" t="n">
        <x:v>15</x:v>
      </x:c>
      <x:c r="L96" s="64" t="str">
        <x:v>Sim</x:v>
      </x:c>
      <x:c r="M96" s="64" t="str">
        <x:v>Não</x:v>
      </x:c>
      <x:c r="N96" s="64" t="str">
        <x:v>2026-10-07</x:v>
      </x:c>
      <x:c r="O96" s="64" t="str">
        <x:v>Ativo ≤30d</x:v>
      </x:c>
      <x:c r="P96" s="83" t="n">
        <x:v>1</x:v>
      </x:c>
      <x:c r="Q96" s="84" t="n">
        <x:v>0.1</x:v>
      </x:c>
      <x:c r="R96" s="64" t="str">
        <x:v>Baixa</x:v>
      </x:c>
      <x:c r="S96" s="63" t="str">
        <x:v>Executivos, gerentes, vendedores e profissionais automotivos</x:v>
      </x:c>
      <x:c r="T96" s="63" t="str">
        <x:v>Alto</x:v>
      </x:c>
      <x:c r="U96" s="63" t="str">
        <x:v>Audiência mais ampla ou voltada ao consumidor; usar somente como radar.</x:v>
      </x:c>
      <x:c r="V96" s="63" t="str">
        <x:v>Apify · Instagram Scraper</x:v>
      </x:c>
      <x:c r="W96" s="63" t="str">
        <x:v>2026-10-07</x:v>
      </x:c>
    </x:row>
    <x:row r="97">
      <x:c r="A97" s="64" t="n">
        <x:v>88</x:v>
      </x:c>
      <x:c r="B97" s="64" t="str">
        <x:v>C</x:v>
      </x:c>
      <x:c r="C97" s="64" t="str">
        <x:v>Radar apenas</x:v>
      </x:c>
      <x:c r="D97" s="64" t="n">
        <x:v>46</x:v>
      </x:c>
      <x:c r="E97" s="63" t="str">
        <x:v>Tecnologia / serviço B2B</x:v>
      </x:c>
      <x:c r="F97" s="63" t="str">
        <x:v>VeltaCar - Gestão Automotiva</x:v>
      </x:c>
      <x:c r="G97" s="63" t="str">
        <x:v>@veltacar</x:v>
      </x:c>
      <x:c r="H97" s="63" t="str">
        <x:v>https://www.instagram.com/veltacar</x:v>
      </x:c>
      <x:c r="I97" s="63" t="str">
        <x:v>Software de gestão para Lavagens, Estéticas Automotivas, Mecânicas. 🚗 📲 Entre no grupo WhatsApp</x:v>
      </x:c>
      <x:c r="J97" s="83" t="n">
        <x:v>6819</x:v>
      </x:c>
      <x:c r="K97" s="83" t="n">
        <x:v>133</x:v>
      </x:c>
      <x:c r="L97" s="64" t="str">
        <x:v>Sim</x:v>
      </x:c>
      <x:c r="M97" s="64" t="str">
        <x:v>Não</x:v>
      </x:c>
      <x:c r="N97" s="64" t="str">
        <x:v>2026-09-30</x:v>
      </x:c>
      <x:c r="O97" s="64" t="str">
        <x:v>Ativo ≤30d</x:v>
      </x:c>
      <x:c r="P97" s="83" t="n">
        <x:v>0</x:v>
      </x:c>
      <x:c r="Q97" s="84" t="n">
        <x:v>0</x:v>
      </x:c>
      <x:c r="R97" s="64" t="str">
        <x:v>Baixa</x:v>
      </x:c>
      <x:c r="S97" s="63" t="str">
        <x:v>Gestão, operações, CRM/BDC, marketing e vendas automotivas</x:v>
      </x:c>
      <x:c r="T97" s="63" t="str">
        <x:v>Alto</x:v>
      </x:c>
      <x:c r="U97" s="63" t="str">
        <x:v>Audiência mais ampla ou voltada ao consumidor; usar somente como radar.</x:v>
      </x:c>
      <x:c r="V97" s="63" t="str">
        <x:v>Apify · Instagram Scraper</x:v>
      </x:c>
      <x:c r="W97" s="63" t="str">
        <x:v>2026-10-07</x:v>
      </x:c>
    </x:row>
    <x:row r="98">
      <x:c r="A98" s="64" t="n">
        <x:v>89</x:v>
      </x:c>
      <x:c r="B98" s="64" t="str">
        <x:v>C</x:v>
      </x:c>
      <x:c r="C98" s="64" t="str">
        <x:v>Radar apenas</x:v>
      </x:c>
      <x:c r="D98" s="64" t="n">
        <x:v>46</x:v>
      </x:c>
      <x:c r="E98" s="63" t="str">
        <x:v>Tecnologia / serviço B2B</x:v>
      </x:c>
      <x:c r="F98" s="63" t="str">
        <x:v>Performace Gestão Automotiva</x:v>
      </x:c>
      <x:c r="G98" s="63" t="str">
        <x:v>@performace.gestaoautomotiva</x:v>
      </x:c>
      <x:c r="H98" s="63" t="str">
        <x:v>https://www.instagram.com/performace.gestaoautomotiva</x:v>
      </x:c>
      <x:c r="I98" s="63" t="str">
        <x:v>A gestão da sua loja em um só lugar! Leads • Vendas • Estoque • Performance 📊 Tenha controle. Venda melhor. 👇 Conheça o Performace 2.0</x:v>
      </x:c>
      <x:c r="J98" s="83" t="n">
        <x:v>3</x:v>
      </x:c>
      <x:c r="K98" s="83" t="n">
        <x:v>9</x:v>
      </x:c>
      <x:c r="L98" s="64" t="str">
        <x:v>Sim</x:v>
      </x:c>
      <x:c r="M98" s="64" t="str">
        <x:v>Não</x:v>
      </x:c>
      <x:c r="N98" s="64" t="str">
        <x:v>2026-09-28</x:v>
      </x:c>
      <x:c r="O98" s="64" t="str">
        <x:v>Ativo ≤30d</x:v>
      </x:c>
      <x:c r="P98" s="83" t="n">
        <x:v>0</x:v>
      </x:c>
      <x:c r="Q98" s="84" t="n">
        <x:v>0</x:v>
      </x:c>
      <x:c r="R98" s="64" t="str">
        <x:v>Baixa</x:v>
      </x:c>
      <x:c r="S98" s="63" t="str">
        <x:v>Gestão, operações, CRM/BDC, marketing e vendas automotivas</x:v>
      </x:c>
      <x:c r="T98" s="63" t="str">
        <x:v>Alto</x:v>
      </x:c>
      <x:c r="U98" s="63" t="str">
        <x:v>Audiência mais ampla ou voltada ao consumidor; usar somente como radar.</x:v>
      </x:c>
      <x:c r="V98" s="63" t="str">
        <x:v>Apify · Instagram Scraper</x:v>
      </x:c>
      <x:c r="W98" s="63" t="str">
        <x:v>2026-10-07</x:v>
      </x:c>
    </x:row>
    <x:row r="99">
      <x:c r="A99" s="64" t="n">
        <x:v>90</x:v>
      </x:c>
      <x:c r="B99" s="64" t="str">
        <x:v>C</x:v>
      </x:c>
      <x:c r="C99" s="64" t="str">
        <x:v>Radar apenas</x:v>
      </x:c>
      <x:c r="D99" s="64" t="n">
        <x:v>41</x:v>
      </x:c>
      <x:c r="E99" s="63" t="str">
        <x:v>Pessoa / executivo automotivo</x:v>
      </x:c>
      <x:c r="F99" s="63" t="str">
        <x:v>ALTW • Vendas automotivas</x:v>
      </x:c>
      <x:c r="G99" s="63" t="str">
        <x:v>@altw_veiculos</x:v>
      </x:c>
      <x:c r="H99" s="63" t="str">
        <x:v>https://www.instagram.com/altw_veiculos</x:v>
      </x:c>
      <x:c r="I99" s="63" t="str">
        <x:v>• Consultor de Vendas e Investidor Automotivo • Compra e venda de veículos • São Leopoldo/RS Vamos fazer bons negócios 👇🏻</x:v>
      </x:c>
      <x:c r="J99" s="83" t="n">
        <x:v>643</x:v>
      </x:c>
      <x:c r="K99" s="83" t="n">
        <x:v>138</x:v>
      </x:c>
      <x:c r="L99" s="64" t="str">
        <x:v>Não</x:v>
      </x:c>
      <x:c r="M99" s="64" t="str">
        <x:v>Não</x:v>
      </x:c>
      <x:c r="N99" s="64" t="str">
        <x:v>2026-09-04</x:v>
      </x:c>
      <x:c r="O99" s="64" t="str">
        <x:v>Ativo 31–90d</x:v>
      </x:c>
      <x:c r="P99" s="83" t="n">
        <x:v>0</x:v>
      </x:c>
      <x:c r="Q99" s="84" t="n">
        <x:v>0</x:v>
      </x:c>
      <x:c r="R99" s="64" t="str">
        <x:v>Baixa</x:v>
      </x:c>
      <x:c r="S99" s="63" t="str">
        <x:v>Executivos, gerentes, vendedores e profissionais automotivos</x:v>
      </x:c>
      <x:c r="T99" s="63" t="str">
        <x:v>Alto</x:v>
      </x:c>
      <x:c r="U99" s="63" t="str">
        <x:v>Audiência mais ampla ou voltada ao consumidor; usar somente como radar.</x:v>
      </x:c>
      <x:c r="V99" s="63" t="str">
        <x:v>Apify · Instagram Scraper</x:v>
      </x:c>
      <x:c r="W99" s="63" t="str">
        <x:v>2026-10-07</x:v>
      </x:c>
    </x:row>
    <x:row r="100">
      <x:c r="A100" s="64" t="n">
        <x:v>91</x:v>
      </x:c>
      <x:c r="B100" s="64" t="str">
        <x:v>C</x:v>
      </x:c>
      <x:c r="C100" s="64" t="str">
        <x:v>Radar apenas</x:v>
      </x:c>
      <x:c r="D100" s="64" t="n">
        <x:v>38</x:v>
      </x:c>
      <x:c r="E100" s="63" t="str">
        <x:v>Mídia / podcast</x:v>
      </x:c>
      <x:c r="F100" s="63" t="str">
        <x:v>Talk'n'Track</x:v>
      </x:c>
      <x:c r="G100" s="63" t="str">
        <x:v>@talkntrack</x:v>
      </x:c>
      <x:c r="H100" s="63" t="str">
        <x:v>https://www.instagram.com/talkntrack</x:v>
      </x:c>
      <x:c r="I100" s="63" t="str">
        <x:v>🎙️ Podcast Automotivo 🚘 Apaixonados por carros 💭 Host @jefmedeiros @gabrielniw</x:v>
      </x:c>
      <x:c r="J100" s="83" t="n">
        <x:v>2604</x:v>
      </x:c>
      <x:c r="K100" s="83" t="n">
        <x:v>87</x:v>
      </x:c>
      <x:c r="L100" s="64" t="str">
        <x:v>Não</x:v>
      </x:c>
      <x:c r="M100" s="64" t="str">
        <x:v>Não</x:v>
      </x:c>
      <x:c r="N100" s="64" t="str">
        <x:v>2026-01-28</x:v>
      </x:c>
      <x:c r="O100" s="64" t="str">
        <x:v>Desatualizado &gt;90d</x:v>
      </x:c>
      <x:c r="P100" s="83" t="n">
        <x:v>22</x:v>
      </x:c>
      <x:c r="Q100" s="84" t="n">
        <x:v>5.1</x:v>
      </x:c>
      <x:c r="R100" s="64" t="str">
        <x:v>Baixa</x:v>
      </x:c>
      <x:c r="S100" s="63" t="str">
        <x:v>Executivos, gestores e profissionais do setor automotivo</x:v>
      </x:c>
      <x:c r="T100" s="63" t="str">
        <x:v>Alto</x:v>
      </x:c>
      <x:c r="U100" s="63" t="str">
        <x:v>Audiência mais ampla ou voltada ao consumidor; usar somente como radar.</x:v>
      </x:c>
      <x:c r="V100" s="63" t="str">
        <x:v>Apify · Instagram Scraper</x:v>
      </x:c>
      <x:c r="W100" s="63" t="str">
        <x:v>2026-10-07</x:v>
      </x:c>
    </x:row>
    <x:row r="101">
      <x:c r="A101" s="64" t="n">
        <x:v>92</x:v>
      </x:c>
      <x:c r="B101" s="64" t="str">
        <x:v>C</x:v>
      </x:c>
      <x:c r="C101" s="64" t="str">
        <x:v>Radar apenas</x:v>
      </x:c>
      <x:c r="D101" s="64" t="n">
        <x:v>38</x:v>
      </x:c>
      <x:c r="E101" s="63" t="str">
        <x:v>Pessoa / executivo automotivo</x:v>
      </x:c>
      <x:c r="F101" s="63" t="str">
        <x:v>Thiago Auto Avaliar</x:v>
      </x:c>
      <x:c r="G101" s="63" t="str">
        <x:v>@thiagoautoavaliar</x:v>
      </x:c>
      <x:c r="H101" s="63" t="str">
        <x:v>https://www.instagram.com/thiagoautoavaliar</x:v>
      </x:c>
      <x:c r="I101" s="63" t="str">
        <x:v>Sem bio pública coletada</x:v>
      </x:c>
      <x:c r="J101" s="83" t="n">
        <x:v>2215</x:v>
      </x:c>
      <x:c r="K101" s="83" t="n">
        <x:v>9</x:v>
      </x:c>
      <x:c r="L101" s="64" t="str">
        <x:v>Não</x:v>
      </x:c>
      <x:c r="M101" s="64" t="str">
        <x:v>Não</x:v>
      </x:c>
      <x:c r="N101" s="64" t="str">
        <x:v>2026-06-17</x:v>
      </x:c>
      <x:c r="O101" s="64" t="str">
        <x:v>Desatualizado &gt;90d</x:v>
      </x:c>
      <x:c r="P101" s="83" t="n">
        <x:v>20</x:v>
      </x:c>
      <x:c r="Q101" s="84" t="n">
        <x:v>5.6</x:v>
      </x:c>
      <x:c r="R101" s="64" t="str">
        <x:v>Baixa</x:v>
      </x:c>
      <x:c r="S101" s="63" t="str">
        <x:v>Executivos, gerentes, vendedores e profissionais automotivos</x:v>
      </x:c>
      <x:c r="T101" s="63" t="str">
        <x:v>Alto</x:v>
      </x:c>
      <x:c r="U101" s="63" t="str">
        <x:v>Audiência mais ampla ou voltada ao consumidor; usar somente como radar.</x:v>
      </x:c>
      <x:c r="V101" s="63" t="str">
        <x:v>Apify · Instagram Scraper</x:v>
      </x:c>
      <x:c r="W101" s="63" t="str">
        <x:v>2026-10-07</x:v>
      </x:c>
    </x:row>
    <x:row r="102">
      <x:c r="A102" s="64" t="n">
        <x:v>93</x:v>
      </x:c>
      <x:c r="B102" s="64" t="str">
        <x:v>C</x:v>
      </x:c>
      <x:c r="C102" s="64" t="str">
        <x:v>Radar apenas</x:v>
      </x:c>
      <x:c r="D102" s="64" t="n">
        <x:v>35</x:v>
      </x:c>
      <x:c r="E102" s="63" t="str">
        <x:v>Mídia / podcast</x:v>
      </x:c>
      <x:c r="F102" s="63" t="str">
        <x:v>Podcast PoDCar027</x:v>
      </x:c>
      <x:c r="G102" s="63" t="str">
        <x:v>@podcar027</x:v>
      </x:c>
      <x:c r="H102" s="63" t="str">
        <x:v>https://www.instagram.com/podcar027</x:v>
      </x:c>
      <x:c r="I102" s="63" t="str">
        <x:v>🎙️O Podcast Automotivo do Capixaba. 🏎️Descubra tudo que Rola no mundo Automotivo no ES e Mundo . 🎙️Também estamos no Bussulando Cast.</x:v>
      </x:c>
      <x:c r="J102" s="83" t="n">
        <x:v>541</x:v>
      </x:c>
      <x:c r="K102" s="83" t="n">
        <x:v>86</x:v>
      </x:c>
      <x:c r="L102" s="64" t="str">
        <x:v>Não</x:v>
      </x:c>
      <x:c r="M102" s="64" t="str">
        <x:v>Não</x:v>
      </x:c>
      <x:c r="N102" s="64" t="str">
        <x:v>2026-06-17</x:v>
      </x:c>
      <x:c r="O102" s="64" t="str">
        <x:v>Desatualizado &gt;90d</x:v>
      </x:c>
      <x:c r="P102" s="83" t="n">
        <x:v>19</x:v>
      </x:c>
      <x:c r="Q102" s="84" t="n">
        <x:v>3.3</x:v>
      </x:c>
      <x:c r="R102" s="64" t="str">
        <x:v>Baixa</x:v>
      </x:c>
      <x:c r="S102" s="63" t="str">
        <x:v>Executivos, gestores e profissionais do setor automotivo</x:v>
      </x:c>
      <x:c r="T102" s="63" t="str">
        <x:v>Alto</x:v>
      </x:c>
      <x:c r="U102" s="63" t="str">
        <x:v>Audiência mais ampla ou voltada ao consumidor; usar somente como radar.</x:v>
      </x:c>
      <x:c r="V102" s="63" t="str">
        <x:v>Apify · Instagram Scraper</x:v>
      </x:c>
      <x:c r="W102" s="63" t="str">
        <x:v>2026-10-07</x:v>
      </x:c>
    </x:row>
    <x:row r="103">
      <x:c r="A103" s="64" t="n">
        <x:v>94</x:v>
      </x:c>
      <x:c r="B103" s="64" t="str">
        <x:v>C</x:v>
      </x:c>
      <x:c r="C103" s="64" t="str">
        <x:v>Radar apenas</x:v>
      </x:c>
      <x:c r="D103" s="64" t="n">
        <x:v>35</x:v>
      </x:c>
      <x:c r="E103" s="63" t="str">
        <x:v>Educação / consultoria</x:v>
      </x:c>
      <x:c r="F103" s="63" t="str">
        <x:v>Gestão, Marketing e Financeiro para Estéticas Automotivas</x:v>
      </x:c>
      <x:c r="G103" s="63" t="str">
        <x:v>@cursoeas</x:v>
      </x:c>
      <x:c r="H103" s="63" t="str">
        <x:v>https://www.instagram.com/cursoeas</x:v>
      </x:c>
      <x:c r="I103" s="63" t="str">
        <x:v>🧭MAPA para o SUCESSO da sua Estética Automotiva 📈Planejar|Organizar|Vender 🚀Método aplicado por + de 600 alunos e na Jaça Estética Automotiva Cursos👇</x:v>
      </x:c>
      <x:c r="J103" s="83" t="n">
        <x:v>6212</x:v>
      </x:c>
      <x:c r="K103" s="83" t="n">
        <x:v>758</x:v>
      </x:c>
      <x:c r="L103" s="64" t="str">
        <x:v>Não</x:v>
      </x:c>
      <x:c r="M103" s="64" t="str">
        <x:v>Não</x:v>
      </x:c>
      <x:c r="N103" s="64" t="str">
        <x:v>2026-05-20</x:v>
      </x:c>
      <x:c r="O103" s="64" t="str">
        <x:v>Desatualizado &gt;90d</x:v>
      </x:c>
      <x:c r="P103" s="83" t="n">
        <x:v>17</x:v>
      </x:c>
      <x:c r="Q103" s="84" t="n">
        <x:v>2.9</x:v>
      </x:c>
      <x:c r="R103" s="64" t="str">
        <x:v>Baixa</x:v>
      </x:c>
      <x:c r="S103" s="63" t="str">
        <x:v>Donos, líderes e equipes de concessionárias e varejo automotivo</x:v>
      </x:c>
      <x:c r="T103" s="63" t="str">
        <x:v>Alto</x:v>
      </x:c>
      <x:c r="U103" s="63" t="str">
        <x:v>Audiência mais ampla ou voltada ao consumidor; usar somente como radar.</x:v>
      </x:c>
      <x:c r="V103" s="63" t="str">
        <x:v>Apify · Instagram Scraper</x:v>
      </x:c>
      <x:c r="W103" s="63" t="str">
        <x:v>2026-10-07</x:v>
      </x:c>
    </x:row>
    <x:row r="104">
      <x:c r="A104" s="64" t="n">
        <x:v>95</x:v>
      </x:c>
      <x:c r="B104" s="64" t="str">
        <x:v>C</x:v>
      </x:c>
      <x:c r="C104" s="64" t="str">
        <x:v>Radar apenas</x:v>
      </x:c>
      <x:c r="D104" s="64" t="n">
        <x:v>35</x:v>
      </x:c>
      <x:c r="E104" s="63" t="str">
        <x:v>Tecnologia / serviço B2B</x:v>
      </x:c>
      <x:c r="F104" s="63" t="str">
        <x:v>AUTO PADRÃO | Gestão Automotiva</x:v>
      </x:c>
      <x:c r="G104" s="63" t="str">
        <x:v>@autopadraogestaoautomotiva</x:v>
      </x:c>
      <x:c r="H104" s="63" t="str">
        <x:v>https://www.instagram.com/autopadraogestaoautomotiva</x:v>
      </x:c>
      <x:c r="I104" s="63" t="str">
        <x:v>⚫ | 1 ANO de assistência mecânica e garantia em motor e câmbio. ⚫ | Planos aplicáveis em veículos seminovos. ⚫ | Clique e saiba mais:</x:v>
      </x:c>
      <x:c r="J104" s="83" t="n">
        <x:v>2863</x:v>
      </x:c>
      <x:c r="K104" s="83" t="n">
        <x:v>88</x:v>
      </x:c>
      <x:c r="L104" s="64" t="str">
        <x:v>Sim</x:v>
      </x:c>
      <x:c r="M104" s="64" t="str">
        <x:v>Não</x:v>
      </x:c>
      <x:c r="N104" s="64" t="str">
        <x:v>2025-06-11</x:v>
      </x:c>
      <x:c r="O104" s="64" t="str">
        <x:v>Desatualizado &gt;90d</x:v>
      </x:c>
      <x:c r="P104" s="83" t="n">
        <x:v>7</x:v>
      </x:c>
      <x:c r="Q104" s="84" t="n">
        <x:v>1.7</x:v>
      </x:c>
      <x:c r="R104" s="64" t="str">
        <x:v>Baixa</x:v>
      </x:c>
      <x:c r="S104" s="63" t="str">
        <x:v>Gestão, operações, CRM/BDC, marketing e vendas automotivas</x:v>
      </x:c>
      <x:c r="T104" s="63" t="str">
        <x:v>Alto</x:v>
      </x:c>
      <x:c r="U104" s="63" t="str">
        <x:v>Audiência mais ampla ou voltada ao consumidor; usar somente como radar.</x:v>
      </x:c>
      <x:c r="V104" s="63" t="str">
        <x:v>Apify · Instagram Scraper</x:v>
      </x:c>
      <x:c r="W104" s="63" t="str">
        <x:v>2026-10-07</x:v>
      </x:c>
    </x:row>
    <x:row r="105">
      <x:c r="A105" s="64" t="n">
        <x:v>96</x:v>
      </x:c>
      <x:c r="B105" s="64" t="str">
        <x:v>C</x:v>
      </x:c>
      <x:c r="C105" s="64" t="str">
        <x:v>Radar apenas</x:v>
      </x:c>
      <x:c r="D105" s="64" t="n">
        <x:v>35</x:v>
      </x:c>
      <x:c r="E105" s="63" t="str">
        <x:v>Pessoa / executivo automotivo</x:v>
      </x:c>
      <x:c r="F105" s="63" t="str">
        <x:v>EXECUTIVO DE VENDAS AUTOMOTIVO</x:v>
      </x:c>
      <x:c r="G105" s="63" t="str">
        <x:v>@executivodevendasautomotivo</x:v>
      </x:c>
      <x:c r="H105" s="63" t="str">
        <x:v>https://www.instagram.com/executivodevendasautomotivo</x:v>
      </x:c>
      <x:c r="I105" s="63" t="str">
        <x:v>Perfil destinado a vendas automotiva Marque comigo um horário para atendimento Loja de atuação @autolugg 🚗🚙🚘 TORRES-RS Por @daniel.bmonteiro</x:v>
      </x:c>
      <x:c r="J105" s="83" t="n">
        <x:v>453</x:v>
      </x:c>
      <x:c r="K105" s="83" t="n">
        <x:v>26</x:v>
      </x:c>
      <x:c r="L105" s="64" t="str">
        <x:v>Sim</x:v>
      </x:c>
      <x:c r="M105" s="64" t="str">
        <x:v>Não</x:v>
      </x:c>
      <x:c r="N105" s="64" t="str">
        <x:v>2025-04-07</x:v>
      </x:c>
      <x:c r="O105" s="64" t="str">
        <x:v>Desatualizado &gt;90d</x:v>
      </x:c>
      <x:c r="P105" s="83" t="n">
        <x:v>5</x:v>
      </x:c>
      <x:c r="Q105" s="84" t="n">
        <x:v>1.9</x:v>
      </x:c>
      <x:c r="R105" s="64" t="str">
        <x:v>Baixa</x:v>
      </x:c>
      <x:c r="S105" s="63" t="str">
        <x:v>Executivos, gerentes, vendedores e profissionais automotivos</x:v>
      </x:c>
      <x:c r="T105" s="63" t="str">
        <x:v>Alto</x:v>
      </x:c>
      <x:c r="U105" s="63" t="str">
        <x:v>Audiência mais ampla ou voltada ao consumidor; usar somente como radar.</x:v>
      </x:c>
      <x:c r="V105" s="63" t="str">
        <x:v>Apify · Instagram Scraper</x:v>
      </x:c>
      <x:c r="W105" s="63" t="str">
        <x:v>2026-10-07</x:v>
      </x:c>
    </x:row>
    <x:row r="106">
      <x:c r="A106" s="64" t="n">
        <x:v>97</x:v>
      </x:c>
      <x:c r="B106" s="64" t="str">
        <x:v>C</x:v>
      </x:c>
      <x:c r="C106" s="64" t="str">
        <x:v>Radar apenas</x:v>
      </x:c>
      <x:c r="D106" s="64" t="n">
        <x:v>32</x:v>
      </x:c>
      <x:c r="E106" s="63" t="str">
        <x:v>Pessoa / executivo automotivo</x:v>
      </x:c>
      <x:c r="F106" s="63" t="str">
        <x:v>charles assis | consultor automotivo</x:v>
      </x:c>
      <x:c r="G106" s="63" t="str">
        <x:v>@charlesassis_52</x:v>
      </x:c>
      <x:c r="H106" s="63" t="str">
        <x:v>https://www.instagram.com/charlesassis_52</x:v>
      </x:c>
      <x:c r="I106" s="63" t="str">
        <x:v>💻 Gerente na @autoshopmultimarcas 🚘 especialista em seminovos. 💼 ajudo você a fazer uma melhor compra. #ipatinga|mg</x:v>
      </x:c>
      <x:c r="J106" s="83" t="n">
        <x:v>3551</x:v>
      </x:c>
      <x:c r="K106" s="83" t="n">
        <x:v>85</x:v>
      </x:c>
      <x:c r="L106" s="64" t="str">
        <x:v>Sim</x:v>
      </x:c>
      <x:c r="M106" s="64" t="str">
        <x:v>Não</x:v>
      </x:c>
      <x:c r="N106" s="64" t="str">
        <x:v>2026-05-19</x:v>
      </x:c>
      <x:c r="O106" s="64" t="str">
        <x:v>Desatualizado &gt;90d</x:v>
      </x:c>
      <x:c r="P106" s="83" t="n">
        <x:v>4</x:v>
      </x:c>
      <x:c r="Q106" s="84" t="n">
        <x:v>1.7</x:v>
      </x:c>
      <x:c r="R106" s="64" t="str">
        <x:v>Baixa</x:v>
      </x:c>
      <x:c r="S106" s="63" t="str">
        <x:v>Executivos, gerentes, vendedores e profissionais automotivos</x:v>
      </x:c>
      <x:c r="T106" s="63" t="str">
        <x:v>Alto</x:v>
      </x:c>
      <x:c r="U106" s="63" t="str">
        <x:v>Audiência mais ampla ou voltada ao consumidor; usar somente como radar.</x:v>
      </x:c>
      <x:c r="V106" s="63" t="str">
        <x:v>Apify · Instagram Scraper</x:v>
      </x:c>
      <x:c r="W106" s="63" t="str">
        <x:v>2026-10-07</x:v>
      </x:c>
    </x:row>
    <x:row r="107">
      <x:c r="A107" s="64" t="n">
        <x:v>98</x:v>
      </x:c>
      <x:c r="B107" s="64" t="str">
        <x:v>C</x:v>
      </x:c>
      <x:c r="C107" s="64" t="str">
        <x:v>Radar apenas</x:v>
      </x:c>
      <x:c r="D107" s="64" t="n">
        <x:v>32</x:v>
      </x:c>
      <x:c r="E107" s="63" t="str">
        <x:v>Mídia / podcast</x:v>
      </x:c>
      <x:c r="F107" s="63" t="str">
        <x:v>Papo Automotivo - Podcast</x:v>
      </x:c>
      <x:c r="G107" s="63" t="str">
        <x:v>@papoautomotivopodcast</x:v>
      </x:c>
      <x:c r="H107" s="63" t="str">
        <x:v>https://www.instagram.com/papoautomotivopodcast</x:v>
      </x:c>
      <x:c r="I107" s="63" t="str">
        <x:v>🎙 Podcast Automotivo 🎤 Live TODA Terça-feira às 20:00h AO VIVO! 🔥Live com Marcelo Martini, especialista em lubrificantes FUCHS</x:v>
      </x:c>
      <x:c r="J107" s="83" t="n">
        <x:v>229</x:v>
      </x:c>
      <x:c r="K107" s="83" t="n">
        <x:v>46</x:v>
      </x:c>
      <x:c r="L107" s="64" t="str">
        <x:v>Sim</x:v>
      </x:c>
      <x:c r="M107" s="64" t="str">
        <x:v>Não</x:v>
      </x:c>
      <x:c r="N107" s="64" t="str">
        <x:v>2023-04-05</x:v>
      </x:c>
      <x:c r="O107" s="64" t="str">
        <x:v>Desatualizado &gt;90d</x:v>
      </x:c>
      <x:c r="P107" s="83" t="n">
        <x:v>3</x:v>
      </x:c>
      <x:c r="Q107" s="84" t="n">
        <x:v>0.7</x:v>
      </x:c>
      <x:c r="R107" s="64" t="str">
        <x:v>Baixa</x:v>
      </x:c>
      <x:c r="S107" s="63" t="str">
        <x:v>Executivos, gestores e profissionais do setor automotivo</x:v>
      </x:c>
      <x:c r="T107" s="63" t="str">
        <x:v>Alto</x:v>
      </x:c>
      <x:c r="U107" s="63" t="str">
        <x:v>Audiência mais ampla ou voltada ao consumidor; usar somente como radar.</x:v>
      </x:c>
      <x:c r="V107" s="63" t="str">
        <x:v>Apify · Instagram Scraper</x:v>
      </x:c>
      <x:c r="W107" s="63" t="str">
        <x:v>2026-10-07</x:v>
      </x:c>
    </x:row>
    <x:row r="108">
      <x:c r="A108" s="64" t="n">
        <x:v>99</x:v>
      </x:c>
      <x:c r="B108" s="64" t="str">
        <x:v>C</x:v>
      </x:c>
      <x:c r="C108" s="64" t="str">
        <x:v>Radar apenas</x:v>
      </x:c>
      <x:c r="D108" s="64" t="n">
        <x:v>30</x:v>
      </x:c>
      <x:c r="E108" s="63" t="str">
        <x:v>Pessoa / executivo automotivo</x:v>
      </x:c>
      <x:c r="F108" s="63" t="str">
        <x:v>André executivo de vendas automotivo</x:v>
      </x:c>
      <x:c r="G108" s="63" t="str">
        <x:v>@andre_alexandreoficiall</x:v>
      </x:c>
      <x:c r="H108" s="63" t="str">
        <x:v>https://www.instagram.com/andre_alexandreoficiall</x:v>
      </x:c>
      <x:c r="I108" s="63" t="str">
        <x:v>A vida é feita de momentos, aproveite cada instante ✌️</x:v>
      </x:c>
      <x:c r="J108" s="83" t="n">
        <x:v>51</x:v>
      </x:c>
      <x:c r="K108" s="83" t="n">
        <x:v>3</x:v>
      </x:c>
      <x:c r="L108" s="64" t="str">
        <x:v>Não</x:v>
      </x:c>
      <x:c r="M108" s="64" t="str">
        <x:v>Não</x:v>
      </x:c>
      <x:c r="N108" s="64" t="str"/>
      <x:c r="O108" s="64" t="str">
        <x:v>Sem evidência</x:v>
      </x:c>
      <x:c r="P108" s="83" t="n">
        <x:v>0</x:v>
      </x:c>
      <x:c r="Q108" s="84" t="n">
        <x:v>0</x:v>
      </x:c>
      <x:c r="R108" s="64" t="str">
        <x:v>Baixa</x:v>
      </x:c>
      <x:c r="S108" s="63" t="str">
        <x:v>Executivos, gerentes, vendedores e profissionais automotivos</x:v>
      </x:c>
      <x:c r="T108" s="63" t="str">
        <x:v>Alto</x:v>
      </x:c>
      <x:c r="U108" s="63" t="str">
        <x:v>Audiência mais ampla ou voltada ao consumidor; usar somente como radar.</x:v>
      </x:c>
      <x:c r="V108" s="63" t="str">
        <x:v>Apify · Instagram Scraper</x:v>
      </x:c>
      <x:c r="W108" s="63" t="str">
        <x:v>2026-10-07</x:v>
      </x:c>
    </x:row>
    <x:row r="109">
      <x:c r="A109" s="64" t="n">
        <x:v>100</x:v>
      </x:c>
      <x:c r="B109" s="64" t="str">
        <x:v>C</x:v>
      </x:c>
      <x:c r="C109" s="64" t="str">
        <x:v>Radar apenas</x:v>
      </x:c>
      <x:c r="D109" s="64" t="n">
        <x:v>30</x:v>
      </x:c>
      <x:c r="E109" s="63" t="str">
        <x:v>Tecnologia / serviço B2B</x:v>
      </x:c>
      <x:c r="F109" s="63" t="str">
        <x:v>moviacrm</x:v>
      </x:c>
      <x:c r="G109" s="63" t="str">
        <x:v>@moviacrm</x:v>
      </x:c>
      <x:c r="H109" s="63" t="str">
        <x:v>https://www.instagram.com/moviacrm/</x:v>
      </x:c>
      <x:c r="I109" s="63" t="str">
        <x:v>Sem bio pública coletada</x:v>
      </x:c>
      <x:c r="J109" s="83"/>
      <x:c r="K109" s="83"/>
      <x:c r="L109" s="64" t="str">
        <x:v>N/D</x:v>
      </x:c>
      <x:c r="M109" s="64" t="str">
        <x:v>Não</x:v>
      </x:c>
      <x:c r="N109" s="64" t="str"/>
      <x:c r="O109" s="64" t="str">
        <x:v>Sem evidência</x:v>
      </x:c>
      <x:c r="P109" s="83" t="n">
        <x:v>0</x:v>
      </x:c>
      <x:c r="Q109" s="84" t="n">
        <x:v>0</x:v>
      </x:c>
      <x:c r="R109" s="64" t="str">
        <x:v>Baixa</x:v>
      </x:c>
      <x:c r="S109" s="63" t="str">
        <x:v>Gestão, operações, CRM/BDC, marketing e vendas automotivas</x:v>
      </x:c>
      <x:c r="T109" s="63" t="str">
        <x:v>Alto</x:v>
      </x:c>
      <x:c r="U109" s="63" t="str">
        <x:v>Audiência mais ampla ou voltada ao consumidor; usar somente como radar.</x:v>
      </x:c>
      <x:c r="V109" s="63" t="str">
        <x:v>Apify · Instagram Scraper</x:v>
      </x:c>
      <x:c r="W109" s="63" t="str">
        <x:v>2026-10-07</x:v>
      </x:c>
    </x:row>
  </x:sheetData>
  <x:mergeCells>
    <x:mergeCell ref="A1:W1"/>
    <x:mergeCell ref="A2:W2"/>
    <x:mergeCell ref="A4:C4"/>
    <x:mergeCell ref="B5:C5"/>
    <x:mergeCell ref="B6:C6"/>
    <x:mergeCell ref="B7:C7"/>
  </x:mergeCells>
  <x:conditionalFormatting sqref="A10:W109">
    <x:cfRule type="expression" dxfId="1" priority="1">
      <x:formula>MOD(ROW(),2)=0</x:formula>
    </x:cfRule>
  </x:conditionalFormatting>
  <x:conditionalFormatting sqref="B10:B109">
    <x:cfRule type="containsText" dxfId="2" priority="2" operator="containsText" text="A"/>
    <x:cfRule type="containsText" dxfId="3" priority="3" operator="containsText" text="B"/>
    <x:cfRule type="containsText" dxfId="4" priority="4" operator="containsText" text="C"/>
  </x:conditionalFormatting>
  <x:conditionalFormatting sqref="D10:D109">
    <x:cfRule type="dataBar" priority="5">
      <x:dataBar>
        <x:cfvo type="min"/>
        <x:cfvo type="max"/>
        <x:color rgb="FFF05A18"/>
      </x:dataBar>
      <x:extLst>
        <x:ext xmlns:x14="http://schemas.microsoft.com/office/spreadsheetml/2009/9/main" uri="{B025F937-C7B1-47D3-B67F-A62EFF666E3E}">
          <x14:id>6aa80dc0-eb61-4323-85dd-857a43fd1a03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4811132b8c4403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6aa80dc0-eb61-4323-85dd-857a43fd1a03">
            <x14:dataBar gradient="1">
              <x14:cfvo type="min"/>
              <x14:cfvo type="max"/>
              <x14:fillColor rgb="FFF05A18"/>
            </x14:dataBar>
          </x14:cfRule>
          <xm:sqref>D10:D109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12213F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66" t="str">
        <x:v>Critérios de curadoria e uso</x:v>
      </x:c>
      <x:c r="B1" s="66"/>
      <x:c r="C1" s="66"/>
      <x:c r="D1" s="66"/>
      <x:c r="E1" s="66"/>
      <x:c r="F1" s="66"/>
      <x:c r="G1" s="66"/>
      <x:c r="H1" s="66"/>
    </x:row>
    <x:row r="3">
      <x:c r="A3" s="85" t="str">
        <x:v>Elemento</x:v>
      </x:c>
      <x:c r="B3" s="85" t="str">
        <x:v>Definição</x:v>
      </x:c>
    </x:row>
    <x:row r="4">
      <x:c r="A4" s="91" t="str">
        <x:v>Escopo</x:v>
      </x:c>
      <x:c r="B4" s="89" t="str">
        <x:v>Inclui pessoas e contas-fonte (mídia, associação, educação, tecnologia e serviços B2B) cuja audiência pode conter profissionais de concessionárias.</x:v>
      </x:c>
    </x:row>
    <x:row r="5">
      <x:c r="A5" s="91" t="str">
        <x:v>Prioridade A</x:v>
      </x:c>
      <x:c r="B5" s="89" t="str">
        <x:v>Aderência alta ao ICP Patagon AI: concessionárias, gestão, CRM/BDC, marketing, vendas ou liderança automotiva.</x:v>
      </x:c>
    </x:row>
    <x:row r="6">
      <x:c r="A6" s="91" t="str">
        <x:v>Prioridade B</x:v>
      </x:c>
      <x:c r="B6" s="89" t="str">
        <x:v>Boa proximidade com o mercado, mas audiência mais mista ou necessidade de validação manual dos engajados.</x:v>
      </x:c>
    </x:row>
    <x:row r="7">
      <x:c r="A7" s="91" t="str">
        <x:v>Prioridade C</x:v>
      </x:c>
      <x:c r="B7" s="89" t="str">
        <x:v>Conteúdo amplo, varejo independente, aftermarket ou forte componente consumidor; usar apenas como radar.</x:v>
      </x:c>
    </x:row>
    <x:row r="8">
      <x:c r="A8" s="91" t="str">
        <x:v>Uso “Sim — coleta”</x:v>
      </x:c>
      <x:c r="B8" s="89" t="str">
        <x:v>Escolher posts com pauta profissional e coletar comentários/curtidas para posterior qualificação.</x:v>
      </x:c>
    </x:row>
    <x:row r="9">
      <x:c r="A9" s="91" t="str">
        <x:v>Teste controlado</x:v>
      </x:c>
      <x:c r="B9" s="89" t="str">
        <x:v>Rodar amostra pequena e medir a taxa de pessoas com empresa/cargo dentro do ICP.</x:v>
      </x:c>
    </x:row>
    <x:row r="10">
      <x:c r="A10" s="91" t="str">
        <x:v>Risco de ruído</x:v>
      </x:c>
      <x:c r="B10" s="89" t="str">
        <x:v>Chance de os engajados serem consumidores, entusiastas, oficinas ou vendedores fora de concessionárias autorizadas.</x:v>
      </x:c>
    </x:row>
    <x:row r="11">
      <x:c r="A11" s="91" t="str">
        <x:v>Atividade</x:v>
      </x:c>
      <x:c r="B11" s="89" t="str">
        <x:v>Calculada a partir das publicações recentes retornadas pelo scraper; contas sem evidência devem ser revisadas antes do uso.</x:v>
      </x:c>
    </x:row>
    <x:row r="12">
      <x:c r="A12" s="91" t="str">
        <x:v>Limitação</x:v>
      </x:c>
      <x:c r="B12" s="89" t="str">
        <x:v>Seguidores e engajamento mudam. O mapa não substitui a validação binária de empresa, cargo, unidades e aderência ao ICP.</x:v>
      </x:c>
    </x:row>
    <x:row r="14">
      <x:c r="A14" s="29" t="str">
        <x:v>Fluxo recomendado</x:v>
      </x:c>
      <x:c r="B14" s="29"/>
      <x:c r="C14" s="29"/>
      <x:c r="D14" s="29"/>
      <x:c r="E14" s="29"/>
      <x:c r="F14" s="29"/>
      <x:c r="G14" s="29"/>
      <x:c r="H14" s="29"/>
    </x:row>
    <x:row r="15">
      <x:c r="A15" s="49" t="str">
        <x:v>1. Filtrar prioridade A e “Sim — coleta”.  2. Selecionar posts recentes sobre leads, Ads, WhatsApp, CRM/BDC, gestão ou vendas.  3. Coletar no máximo 20 engajados por post.  4. Deduplicar.  5. Validar empresa, cargo, vínculo com concessionária autorizada e número de unidades.  6. Só então enriquecer e enviar para campanha.</x:v>
      </x:c>
      <x:c r="B15" s="50"/>
      <x:c r="C15" s="50"/>
      <x:c r="D15" s="50"/>
      <x:c r="E15" s="50"/>
      <x:c r="F15" s="50"/>
      <x:c r="G15" s="50"/>
      <x:c r="H15" s="51"/>
    </x:row>
    <x:row r="16">
      <x:c r="A16" s="52"/>
      <x:c r="B16" s="53"/>
      <x:c r="C16" s="53"/>
      <x:c r="D16" s="53"/>
      <x:c r="E16" s="53"/>
      <x:c r="F16" s="53"/>
      <x:c r="G16" s="53"/>
      <x:c r="H16" s="54"/>
    </x:row>
    <x:row r="17">
      <x:c r="A17" s="52"/>
      <x:c r="B17" s="53"/>
      <x:c r="C17" s="53"/>
      <x:c r="D17" s="53"/>
      <x:c r="E17" s="53"/>
      <x:c r="F17" s="53"/>
      <x:c r="G17" s="53"/>
      <x:c r="H17" s="54"/>
    </x:row>
    <x:row r="18">
      <x:c r="A18" s="55"/>
      <x:c r="B18" s="56"/>
      <x:c r="C18" s="56"/>
      <x:c r="D18" s="56"/>
      <x:c r="E18" s="56"/>
      <x:c r="F18" s="56"/>
      <x:c r="G18" s="56"/>
      <x:c r="H18" s="57"/>
    </x:row>
  </x:sheetData>
  <x:mergeCells>
    <x:mergeCell ref="A1:H1"/>
    <x:mergeCell ref="A14:H14"/>
    <x:mergeCell ref="A15:H18"/>
  </x:mergeCells>
  <x:pageMargins left="0.7" right="0.7" top="0.75" bottom="0.75" header="0.3" footer="0.3"/>
</x:worksheet>
</file>